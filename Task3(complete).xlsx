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efaultThemeVersion="124226"/>
  <mc:AlternateContent xmlns:mc="http://schemas.openxmlformats.org/markup-compatibility/2006">
    <mc:Choice Requires="x15">
      <x15ac:absPath xmlns:x15ac="http://schemas.microsoft.com/office/spreadsheetml/2010/11/ac" url="D:\DATA ANALYTICS\EXCEL FILE\"/>
    </mc:Choice>
  </mc:AlternateContent>
  <xr:revisionPtr revIDLastSave="0" documentId="13_ncr:1_{5AAE5518-D261-446C-8C3E-B8EE766072F5}" xr6:coauthVersionLast="47" xr6:coauthVersionMax="47" xr10:uidLastSave="{00000000-0000-0000-0000-000000000000}"/>
  <bookViews>
    <workbookView xWindow="-120" yWindow="-120" windowWidth="20730" windowHeight="11040" activeTab="12" xr2:uid="{00000000-000D-0000-FFFF-FFFF00000000}"/>
  </bookViews>
  <sheets>
    <sheet name="Q1" sheetId="11" r:id="rId1"/>
    <sheet name="Name" sheetId="12" r:id="rId2"/>
    <sheet name="Date" sheetId="13" r:id="rId3"/>
    <sheet name="Country" sheetId="14" r:id="rId4"/>
    <sheet name="Q2" sheetId="6" r:id="rId5"/>
    <sheet name="Q3" sheetId="4" r:id="rId6"/>
    <sheet name="Q4" sheetId="19" r:id="rId7"/>
    <sheet name="Q5" sheetId="9" r:id="rId8"/>
    <sheet name="Q6" sheetId="17" r:id="rId9"/>
    <sheet name="Q7" sheetId="20" r:id="rId10"/>
    <sheet name="Q8" sheetId="21" r:id="rId11"/>
    <sheet name="Q9" sheetId="22" r:id="rId12"/>
    <sheet name="Q10" sheetId="23" r:id="rId13"/>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76" i="23" l="1"/>
  <c r="F77" i="23"/>
  <c r="F78" i="23"/>
  <c r="F79" i="23"/>
  <c r="F80" i="23"/>
  <c r="F75" i="23"/>
  <c r="G76" i="23"/>
  <c r="G77" i="23"/>
  <c r="G78" i="23"/>
  <c r="G79" i="23"/>
  <c r="G80" i="23"/>
  <c r="G75" i="23"/>
  <c r="E80" i="23"/>
  <c r="E76" i="23"/>
  <c r="E77" i="23"/>
  <c r="E78" i="23"/>
  <c r="E79" i="23"/>
  <c r="E75" i="23"/>
  <c r="B184" i="23"/>
  <c r="C160" i="23"/>
  <c r="C161" i="23"/>
  <c r="C162" i="23"/>
  <c r="C163" i="23"/>
  <c r="C164" i="23"/>
  <c r="C165" i="23"/>
  <c r="C166" i="23"/>
  <c r="C167" i="23"/>
  <c r="C168" i="23"/>
  <c r="C159" i="23"/>
  <c r="D140" i="23"/>
  <c r="C140" i="23"/>
  <c r="D152" i="23" a="1"/>
  <c r="D152" i="23" s="1"/>
  <c r="D154" i="23" a="1"/>
  <c r="D154" i="23" s="1"/>
  <c r="D153" i="23" a="1"/>
  <c r="D153" i="23" s="1"/>
  <c r="B102" i="23"/>
  <c r="D28" i="23" a="1"/>
  <c r="D28" i="23" s="1"/>
  <c r="B70" i="23"/>
  <c r="D27" i="23"/>
  <c r="U5" i="21"/>
  <c r="T5" i="21"/>
  <c r="S5" i="21"/>
  <c r="R5" i="21"/>
  <c r="Q5" i="21"/>
  <c r="P5" i="21"/>
  <c r="O5" i="21"/>
  <c r="N5" i="21"/>
  <c r="M5" i="21"/>
  <c r="L5" i="21"/>
  <c r="K5" i="21"/>
  <c r="J5" i="21"/>
  <c r="I5" i="21"/>
  <c r="H5" i="21"/>
  <c r="G5" i="21"/>
  <c r="F5" i="21"/>
  <c r="E5" i="21"/>
  <c r="D5" i="21"/>
  <c r="C5" i="21"/>
  <c r="G5" i="9"/>
  <c r="G6" i="9"/>
  <c r="G7" i="9"/>
  <c r="G8" i="9"/>
  <c r="G9" i="9"/>
  <c r="G10" i="9"/>
  <c r="G11" i="9"/>
  <c r="G12" i="9"/>
  <c r="G13" i="9"/>
  <c r="G14" i="9"/>
  <c r="G15" i="9"/>
  <c r="G4" i="9"/>
  <c r="D1" i="19" a="1"/>
  <c r="D1" i="19" s="1"/>
  <c r="I3" i="4"/>
  <c r="I4" i="4"/>
  <c r="I2" i="4"/>
  <c r="O6" i="11"/>
  <c r="O7" i="11"/>
  <c r="O8" i="11"/>
  <c r="O9" i="11"/>
  <c r="O10" i="11"/>
  <c r="O11" i="11"/>
  <c r="O12" i="11"/>
  <c r="O13" i="11"/>
  <c r="O14" i="11"/>
  <c r="O15" i="11"/>
  <c r="O16" i="11"/>
  <c r="O17" i="11"/>
  <c r="O5" i="11"/>
  <c r="L6" i="11"/>
  <c r="L7" i="11"/>
  <c r="L8" i="11"/>
  <c r="L5" i="11"/>
  <c r="B11" i="11"/>
  <c r="B12" i="11"/>
  <c r="B10" i="11"/>
  <c r="B6" i="11"/>
  <c r="B7" i="11"/>
  <c r="B8" i="11"/>
  <c r="B9" i="11"/>
  <c r="B13" i="11"/>
  <c r="B14" i="11"/>
  <c r="B15" i="11"/>
  <c r="B16" i="11"/>
  <c r="B17" i="11"/>
  <c r="B5" i="11"/>
  <c r="J5" i="6"/>
  <c r="B173" i="23" a="1"/>
  <c r="B173" i="23" l="1"/>
  <c r="B123" i="23"/>
  <c r="B122" i="23"/>
  <c r="B121" i="23"/>
  <c r="B120" i="23"/>
  <c r="B119" i="23"/>
  <c r="B118" i="23"/>
  <c r="B117" i="23"/>
  <c r="C117" i="23" l="1"/>
  <c r="C119" i="23"/>
  <c r="C120" i="23"/>
  <c r="C121" i="23"/>
  <c r="C118" i="23"/>
  <c r="C122" i="23"/>
  <c r="C123" i="23"/>
  <c r="I15" i="11"/>
  <c r="I17" i="11" s="1"/>
  <c r="I14" i="11"/>
  <c r="I16" i="11" s="1"/>
  <c r="I13" i="11"/>
  <c r="XEX1" i="1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<sst xmlns="http://schemas.openxmlformats.org/spreadsheetml/2006/main" count="4947" uniqueCount="280">
  <si>
    <t>OrderID</t>
  </si>
  <si>
    <t>Sales Person</t>
  </si>
  <si>
    <t>Buchanan</t>
  </si>
  <si>
    <t>Suyama</t>
  </si>
  <si>
    <t>Lee</t>
  </si>
  <si>
    <t>Leverling</t>
  </si>
  <si>
    <t>Dodsworth</t>
  </si>
  <si>
    <t>Name</t>
  </si>
  <si>
    <t>Sachin</t>
  </si>
  <si>
    <t>DOB</t>
  </si>
  <si>
    <t xml:space="preserve">Based on the data provided below, find out how many people are born in the month of Jan, Feb,…Nov, Dec. </t>
  </si>
  <si>
    <t>Adella</t>
  </si>
  <si>
    <t>Allen</t>
  </si>
  <si>
    <t>Anne</t>
  </si>
  <si>
    <t>Beverly</t>
  </si>
  <si>
    <t>Bonnie</t>
  </si>
  <si>
    <t>Brian</t>
  </si>
  <si>
    <t>Carol</t>
  </si>
  <si>
    <t>Christopher</t>
  </si>
  <si>
    <t>Coral</t>
  </si>
  <si>
    <t>Daryl</t>
  </si>
  <si>
    <t>David</t>
  </si>
  <si>
    <t>Deborah</t>
  </si>
  <si>
    <t>Dolores</t>
  </si>
  <si>
    <t>Donna</t>
  </si>
  <si>
    <t>Edward</t>
  </si>
  <si>
    <t>Eleanor</t>
  </si>
  <si>
    <t>Eva</t>
  </si>
  <si>
    <t>Frank</t>
  </si>
  <si>
    <t>Fred</t>
  </si>
  <si>
    <t>George</t>
  </si>
  <si>
    <t>Harry</t>
  </si>
  <si>
    <t>James</t>
  </si>
  <si>
    <t>Jennifer</t>
  </si>
  <si>
    <t>Jill</t>
  </si>
  <si>
    <t>Joanne</t>
  </si>
  <si>
    <t>Jody</t>
  </si>
  <si>
    <t>John</t>
  </si>
  <si>
    <t>Judy</t>
  </si>
  <si>
    <t>Julia</t>
  </si>
  <si>
    <t>Kathleen</t>
  </si>
  <si>
    <t>Kathy</t>
  </si>
  <si>
    <t>Kiley</t>
  </si>
  <si>
    <t>Larry</t>
  </si>
  <si>
    <t>Lewis</t>
  </si>
  <si>
    <t>Lewis "Jay"</t>
  </si>
  <si>
    <t>Linda</t>
  </si>
  <si>
    <t>Lisa</t>
  </si>
  <si>
    <t>Margaret</t>
  </si>
  <si>
    <t>Marilyn</t>
  </si>
  <si>
    <t>Mary</t>
  </si>
  <si>
    <t>Matthew</t>
  </si>
  <si>
    <t>Melvin</t>
  </si>
  <si>
    <t>Nicole</t>
  </si>
  <si>
    <t>Patricia</t>
  </si>
  <si>
    <t>Patty</t>
  </si>
  <si>
    <t>Paul</t>
  </si>
  <si>
    <t>Raymond</t>
  </si>
  <si>
    <t>Richard</t>
  </si>
  <si>
    <t>Robert</t>
  </si>
  <si>
    <t>Roy "Bud"</t>
  </si>
  <si>
    <t>Shawn</t>
  </si>
  <si>
    <t>Sonja</t>
  </si>
  <si>
    <t>Susan</t>
  </si>
  <si>
    <t>Theodore</t>
  </si>
  <si>
    <t>Thomas</t>
  </si>
  <si>
    <t>William</t>
  </si>
  <si>
    <t>Month</t>
  </si>
  <si>
    <t>Time taken (mins and secs)</t>
  </si>
  <si>
    <t>VLOOKUP(VALUE(K5),$H$5:$I$17,2,0)</t>
  </si>
  <si>
    <t>Q1. Find out the country, name and date from the next three sheets.</t>
  </si>
  <si>
    <t>Q2.</t>
  </si>
  <si>
    <t>Country</t>
  </si>
  <si>
    <t>Output Country</t>
  </si>
  <si>
    <t>Output Date</t>
  </si>
  <si>
    <t>Output Name</t>
  </si>
  <si>
    <t>Order Date</t>
  </si>
  <si>
    <t>UK</t>
  </si>
  <si>
    <t>USA</t>
  </si>
  <si>
    <t>Davolio</t>
  </si>
  <si>
    <t>Callahan</t>
  </si>
  <si>
    <t>Fuller</t>
  </si>
  <si>
    <t>Chang</t>
  </si>
  <si>
    <t>Q3</t>
  </si>
  <si>
    <t>Count</t>
  </si>
  <si>
    <t>Date</t>
  </si>
  <si>
    <t>Status</t>
  </si>
  <si>
    <t>Unsolved</t>
  </si>
  <si>
    <t>See the Graph and Put the validation in following table:</t>
  </si>
  <si>
    <t>Things</t>
  </si>
  <si>
    <t>Fruit/Game</t>
  </si>
  <si>
    <t>Taste/country</t>
  </si>
  <si>
    <t>Color/Player</t>
  </si>
  <si>
    <t>Ingradients/Item</t>
  </si>
  <si>
    <t>Fruits</t>
  </si>
  <si>
    <t>Games</t>
  </si>
  <si>
    <t xml:space="preserve">Select things from things colomn either Fruit or Games. </t>
  </si>
  <si>
    <t>II cloumn fills with name of either fruits or a game</t>
  </si>
  <si>
    <t>the respective coulmns will filled as per the bottom table</t>
  </si>
  <si>
    <t>Apple</t>
  </si>
  <si>
    <t>Cricket</t>
  </si>
  <si>
    <t>Mango</t>
  </si>
  <si>
    <t>Bollibal</t>
  </si>
  <si>
    <t>Grapes</t>
  </si>
  <si>
    <t>Tanish</t>
  </si>
  <si>
    <t>Fruit</t>
  </si>
  <si>
    <t>Taste</t>
  </si>
  <si>
    <t>Color</t>
  </si>
  <si>
    <t>Ingradients</t>
  </si>
  <si>
    <t>Player</t>
  </si>
  <si>
    <t>Item</t>
  </si>
  <si>
    <t>Sweet</t>
  </si>
  <si>
    <t>Redish</t>
  </si>
  <si>
    <t>Vitamins A,B,C</t>
  </si>
  <si>
    <t>England</t>
  </si>
  <si>
    <t>Bat &amp; Ball</t>
  </si>
  <si>
    <t>Swear</t>
  </si>
  <si>
    <t>Yellow</t>
  </si>
  <si>
    <t>Vitamin C</t>
  </si>
  <si>
    <t>India</t>
  </si>
  <si>
    <t>Bakham</t>
  </si>
  <si>
    <t>Handball</t>
  </si>
  <si>
    <t>Green</t>
  </si>
  <si>
    <t>America</t>
  </si>
  <si>
    <t>Saniya</t>
  </si>
  <si>
    <t>Rackets &amp; Ball</t>
  </si>
  <si>
    <t>Jan</t>
  </si>
  <si>
    <t>Feb</t>
  </si>
  <si>
    <t>Mar</t>
  </si>
  <si>
    <t>Apr</t>
  </si>
  <si>
    <t>May</t>
  </si>
  <si>
    <t>Jun</t>
  </si>
  <si>
    <t>Jul</t>
  </si>
  <si>
    <t>Aug</t>
  </si>
  <si>
    <t>Sep</t>
  </si>
  <si>
    <t>Oct</t>
  </si>
  <si>
    <t>Nov</t>
  </si>
  <si>
    <t>Dec</t>
  </si>
  <si>
    <t>Find the sum of top 5 sales</t>
  </si>
  <si>
    <t>Q1</t>
  </si>
  <si>
    <t>Q2</t>
  </si>
  <si>
    <t>Q4</t>
  </si>
  <si>
    <t>Product1</t>
  </si>
  <si>
    <t>Product2</t>
  </si>
  <si>
    <t>Product3</t>
  </si>
  <si>
    <t>Product4</t>
  </si>
  <si>
    <t>Product5</t>
  </si>
  <si>
    <t>Product6</t>
  </si>
  <si>
    <t>1.Find the value of given quarter and given product according to the above validation</t>
  </si>
  <si>
    <t>Q10.</t>
  </si>
  <si>
    <t>Amount</t>
  </si>
  <si>
    <t>AcctType</t>
  </si>
  <si>
    <t>OpenedBy</t>
  </si>
  <si>
    <t>Branch</t>
  </si>
  <si>
    <t>Customer</t>
  </si>
  <si>
    <t>IRA</t>
  </si>
  <si>
    <t>New Accts</t>
  </si>
  <si>
    <t>Central</t>
  </si>
  <si>
    <t>Existing</t>
  </si>
  <si>
    <t>Answer the Following Questions on the basic Row Data Given Below</t>
  </si>
  <si>
    <t>CD</t>
  </si>
  <si>
    <t>Teller</t>
  </si>
  <si>
    <t>New</t>
  </si>
  <si>
    <t>Checking</t>
  </si>
  <si>
    <t>Q1.  What is Total new deposite amount for each branch?</t>
  </si>
  <si>
    <t>Q2.  How many accounts were opened at each branch broken down by account type?</t>
  </si>
  <si>
    <t>Savings</t>
  </si>
  <si>
    <t>North County</t>
  </si>
  <si>
    <t>Q3.  What is the dollar distrubution of the different account type?</t>
  </si>
  <si>
    <t>Westside</t>
  </si>
  <si>
    <t>Q4.  What type of accounts do a tellers open most oftem?</t>
  </si>
  <si>
    <t>Q5.  How does the central branch compare to the other two branches?</t>
  </si>
  <si>
    <t>Q6.  In which branch do tellers open the most checking accounts for new customers?</t>
  </si>
  <si>
    <t>Find the cummulative investment for each year. E.g. In year 7, the cumulative investment should be summation of year 1 to 7</t>
  </si>
  <si>
    <t>Year</t>
  </si>
  <si>
    <t>Investment</t>
  </si>
  <si>
    <t>Cummulative Investment</t>
  </si>
  <si>
    <t>Validate Column A1:A20, So that user can't type duplicate value, value entered by the user should be between 100 to 300 and and also it should be the numeric value.</t>
  </si>
  <si>
    <t>Q.1</t>
  </si>
  <si>
    <t>How to delete the blank cell from the range?  Please specify the steps.</t>
  </si>
  <si>
    <t>Ans:-</t>
  </si>
  <si>
    <t>Q. 2</t>
  </si>
  <si>
    <t xml:space="preserve">If we put the value &gt;0 to &lt;2000 in column B then column C should be red. </t>
  </si>
  <si>
    <t>Value</t>
  </si>
  <si>
    <t>Cell Color</t>
  </si>
  <si>
    <t>Q.3</t>
  </si>
  <si>
    <t>In the below table have given Member Name and DOJ. Please find how many Years and Days have been spent</t>
  </si>
  <si>
    <t>Doj</t>
  </si>
  <si>
    <t>Result</t>
  </si>
  <si>
    <t>Agent1</t>
  </si>
  <si>
    <t>Agent2</t>
  </si>
  <si>
    <t>Agent3</t>
  </si>
  <si>
    <t>Agent4</t>
  </si>
  <si>
    <t>Agent5</t>
  </si>
  <si>
    <t>Agent6</t>
  </si>
  <si>
    <t>Agent7</t>
  </si>
  <si>
    <t>Agent8</t>
  </si>
  <si>
    <t>Agent9</t>
  </si>
  <si>
    <t>Q.4</t>
  </si>
  <si>
    <t>Please highlight the row of those agent's age is &lt;24 and &gt;27.</t>
  </si>
  <si>
    <t>Age</t>
  </si>
  <si>
    <t>Designation</t>
  </si>
  <si>
    <t>Dept</t>
  </si>
  <si>
    <t>Asso</t>
  </si>
  <si>
    <t>MIS</t>
  </si>
  <si>
    <t>Sr. Asso</t>
  </si>
  <si>
    <t>AM</t>
  </si>
  <si>
    <t>Q.5</t>
  </si>
  <si>
    <t>Find the average Incentive amount of Raman.</t>
  </si>
  <si>
    <t>Incentive</t>
  </si>
  <si>
    <t>Deepak</t>
  </si>
  <si>
    <t>Suraj</t>
  </si>
  <si>
    <t>Raman</t>
  </si>
  <si>
    <t>Raj</t>
  </si>
  <si>
    <t>Vijay</t>
  </si>
  <si>
    <t>Q.6</t>
  </si>
  <si>
    <t>Find the Title, 1st Name, 2nd Name and Last Name to using formula.</t>
  </si>
  <si>
    <t>1st Name</t>
  </si>
  <si>
    <t>Middle Name</t>
  </si>
  <si>
    <t>Last Name</t>
  </si>
  <si>
    <t>Lal Bahadu Shashtri</t>
  </si>
  <si>
    <t>Atal Bihari Bajpay</t>
  </si>
  <si>
    <t>Indra Kumar Gujral</t>
  </si>
  <si>
    <t>Manmohan Singh Gandhi</t>
  </si>
  <si>
    <t>Ram Dev Baba</t>
  </si>
  <si>
    <t>Subhash Chandra Bose</t>
  </si>
  <si>
    <t>Q. 7</t>
  </si>
  <si>
    <t>Please  find the unique count of the name from the range.</t>
  </si>
  <si>
    <t>Q.8</t>
  </si>
  <si>
    <t xml:space="preserve">How to Prevent the column B for Duplicate entry.  </t>
  </si>
  <si>
    <t>Q.9</t>
  </si>
  <si>
    <t xml:space="preserve">Below range data is changeable , We need to disply 1st highest value as H1 and 2nd H2 rest should be blank. </t>
  </si>
  <si>
    <t>Range</t>
  </si>
  <si>
    <t>Q.10</t>
  </si>
  <si>
    <t>Please right down the steps of Advance filter.</t>
  </si>
  <si>
    <t>Q.11</t>
  </si>
  <si>
    <t>Cell No. B141 is changeable. We need DOB of the agent where Emp ID is equal to cell B141.</t>
  </si>
  <si>
    <t>Emp ID</t>
  </si>
  <si>
    <t>ID</t>
  </si>
  <si>
    <t>Q.12</t>
  </si>
  <si>
    <t>Find the Data of below table as reqirment given below of the table.</t>
  </si>
  <si>
    <t>Afdx</t>
  </si>
  <si>
    <t>Sundx</t>
  </si>
  <si>
    <t>Wesdox</t>
  </si>
  <si>
    <t>Altomy</t>
  </si>
  <si>
    <t>Ranpx</t>
  </si>
  <si>
    <t>Albato</t>
  </si>
  <si>
    <t>Ninjox</t>
  </si>
  <si>
    <t>Skylox</t>
  </si>
  <si>
    <t>Sumbox</t>
  </si>
  <si>
    <t>Newlon</t>
  </si>
  <si>
    <t>Q.13</t>
  </si>
  <si>
    <t>Extract MID Value if 25. Else show Blank</t>
  </si>
  <si>
    <t xml:space="preserve"> Reference Number</t>
  </si>
  <si>
    <t>Ans</t>
  </si>
  <si>
    <t>100-25-2009</t>
  </si>
  <si>
    <t>100-26-2007</t>
  </si>
  <si>
    <t>100-32-2008</t>
  </si>
  <si>
    <t>100-25-2010</t>
  </si>
  <si>
    <t>100-25-2011</t>
  </si>
  <si>
    <t>100-25-2012</t>
  </si>
  <si>
    <t xml:space="preserve">100-29-2013 </t>
  </si>
  <si>
    <t>100-25-2014</t>
  </si>
  <si>
    <t>100-25-2015</t>
  </si>
  <si>
    <t>Q.14</t>
  </si>
  <si>
    <t>Find how many Sunday between below Given Range</t>
  </si>
  <si>
    <t>Q. 15</t>
  </si>
  <si>
    <t>Count the Number &gt;5 and &lt;10 into the below Range</t>
  </si>
  <si>
    <t>Ans-15</t>
  </si>
  <si>
    <t>=</t>
  </si>
  <si>
    <t>Q3.</t>
  </si>
  <si>
    <t>1)Select the cell rangs  2) go to home tab 3) find Select 4) Go to special dialog box  5)select Blanks and click OK 6)Right-click on any of the selected blank cells and click Delete</t>
  </si>
  <si>
    <t>priya</t>
  </si>
  <si>
    <t>sadhna</t>
  </si>
  <si>
    <t>1)Select your data range 2) GO To the data tap -&gt; click Advanced</t>
  </si>
  <si>
    <t>In the Advanced Filter dialog box:</t>
  </si>
  <si>
    <r>
      <t xml:space="preserve">Choose </t>
    </r>
    <r>
      <rPr>
        <b/>
        <sz val="11"/>
        <color theme="1"/>
        <rFont val="Calibri"/>
        <family val="2"/>
        <scheme val="minor"/>
      </rPr>
      <t>Filter the list, in-place</t>
    </r>
  </si>
  <si>
    <t>or Copy to another location</t>
  </si>
  <si>
    <t xml:space="preserve">list range and criteria range if nedded to check </t>
  </si>
  <si>
    <t>unique option than click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</si>
</sst>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_(* #,##0.00_);_(* \(#,##0.00\);_(* &quot;-&quot;??_);_(@_)"/>
    <numFmt numFmtId="166" formatCode="_(* #,##0_);_(* \(#,##0\);_(* &quot;-&quot;??_);_(@_)"/>
    <numFmt numFmtId="167" formatCode="mmm\-dd"/>
  </numFmts>
  <fonts count="22" x14ac:knownFonts="1">
    <font>
      <sz val="11"/>
      <color theme="1"/>
      <name val="Calibri"/>
      <family val="2"/>
      <scheme val="minor"/>
    </font>
    <font>
      <b/>
      <sz val="11"/>
      <color theme="0"/>
      <name val="Calibri"/>
      <family val="2"/>
      <scheme val="minor"/>
    </font>
    <font>
      <b/>
      <sz val="11"/>
      <color theme="1"/>
      <name val="Calibri"/>
      <family val="2"/>
      <scheme val="minor"/>
    </font>
    <font>
      <sz val="8"/>
      <name val="Tahoma"/>
      <family val="2"/>
    </font>
    <font>
      <sz val="10"/>
      <name val="Calibri"/>
      <family val="2"/>
      <scheme val="minor"/>
    </font>
    <font>
      <b/>
      <sz val="8"/>
      <color theme="0"/>
      <name val="Tahoma"/>
      <family val="2"/>
    </font>
    <font>
      <b/>
      <sz val="10"/>
      <color indexed="16"/>
      <name val="Arial"/>
      <family val="2"/>
    </font>
    <font>
      <b/>
      <sz val="10"/>
      <color indexed="59"/>
      <name val="Arial"/>
      <family val="2"/>
    </font>
    <font>
      <b/>
      <sz val="10"/>
      <color indexed="18"/>
      <name val="Arial"/>
      <family val="2"/>
    </font>
    <font>
      <b/>
      <sz val="14"/>
      <name val="Arial"/>
      <family val="2"/>
    </font>
    <font>
      <b/>
      <u/>
      <sz val="12"/>
      <color indexed="10"/>
      <name val="Arial"/>
      <family val="2"/>
    </font>
    <font>
      <b/>
      <sz val="11"/>
      <name val="Arial"/>
      <family val="2"/>
    </font>
    <font>
      <b/>
      <sz val="10"/>
      <name val="Arial"/>
      <family val="2"/>
    </font>
    <font>
      <sz val="11"/>
      <color theme="0"/>
      <name val="Calibri"/>
      <family val="2"/>
      <scheme val="minor"/>
    </font>
    <font>
      <sz val="11"/>
      <color indexed="8"/>
      <name val="Calibri"/>
      <family val="2"/>
    </font>
    <font>
      <sz val="11"/>
      <color indexed="9"/>
      <name val="Calibri"/>
      <family val="2"/>
    </font>
    <font>
      <sz val="10"/>
      <name val="Arial"/>
      <family val="2"/>
    </font>
    <font>
      <b/>
      <u/>
      <sz val="12"/>
      <color indexed="8"/>
      <name val="Calibri"/>
      <family val="2"/>
    </font>
    <font>
      <b/>
      <sz val="11"/>
      <color indexed="8"/>
      <name val="Calibri"/>
      <family val="2"/>
    </font>
    <font>
      <u/>
      <sz val="11"/>
      <color theme="10"/>
      <name val="Calibri"/>
      <family val="2"/>
      <scheme val="minor"/>
    </font>
    <font>
      <b/>
      <sz val="10"/>
      <color theme="0"/>
      <name val="Arial"/>
      <family val="2"/>
    </font>
    <font>
      <sz val="1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indexed="43"/>
        <bgColor indexed="64"/>
      </patternFill>
    </fill>
    <fill>
      <patternFill patternType="solid">
        <fgColor indexed="13"/>
        <bgColor indexed="64"/>
      </patternFill>
    </fill>
    <fill>
      <patternFill patternType="solid">
        <fgColor indexed="11"/>
        <bgColor indexed="64"/>
      </patternFill>
    </fill>
    <fill>
      <patternFill patternType="solid">
        <fgColor indexed="52"/>
        <bgColor indexed="64"/>
      </patternFill>
    </fill>
    <fill>
      <patternFill patternType="solid">
        <fgColor indexed="19"/>
        <bgColor indexed="64"/>
      </patternFill>
    </fill>
    <fill>
      <patternFill patternType="solid">
        <fgColor indexed="61"/>
        <bgColor indexed="64"/>
      </patternFill>
    </fill>
    <fill>
      <patternFill patternType="solid">
        <fgColor theme="3" tint="-0.249977111117893"/>
        <bgColor indexed="64"/>
      </patternFill>
    </fill>
    <fill>
      <patternFill patternType="solid">
        <fgColor indexed="8"/>
        <bgColor indexed="64"/>
      </patternFill>
    </fill>
    <fill>
      <patternFill patternType="solid">
        <fgColor theme="4" tint="-0.499984740745262"/>
        <bgColor indexed="64"/>
      </patternFill>
    </fill>
    <fill>
      <patternFill patternType="solid">
        <fgColor theme="3" tint="-0.249977111117893"/>
        <bgColor indexed="23"/>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18"/>
      </left>
      <right style="medium">
        <color indexed="18"/>
      </right>
      <top style="medium">
        <color indexed="18"/>
      </top>
      <bottom style="medium">
        <color indexed="18"/>
      </bottom>
      <diagonal/>
    </border>
    <border>
      <left style="medium">
        <color indexed="16"/>
      </left>
      <right style="medium">
        <color indexed="16"/>
      </right>
      <top style="medium">
        <color indexed="16"/>
      </top>
      <bottom style="medium">
        <color indexed="16"/>
      </bottom>
      <diagonal/>
    </border>
    <border>
      <left/>
      <right/>
      <top/>
      <bottom style="medium">
        <color indexed="16"/>
      </bottom>
      <diagonal/>
    </border>
    <border>
      <left/>
      <right style="medium">
        <color indexed="16"/>
      </right>
      <top/>
      <bottom/>
      <diagonal/>
    </border>
    <border>
      <left style="medium">
        <color indexed="19"/>
      </left>
      <right style="medium">
        <color indexed="19"/>
      </right>
      <top style="medium">
        <color indexed="19"/>
      </top>
      <bottom style="medium">
        <color indexed="19"/>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5">
    <xf numFmtId="0" fontId="0" fillId="0" borderId="0"/>
    <xf numFmtId="0" fontId="3" fillId="0" borderId="0"/>
    <xf numFmtId="0" fontId="14" fillId="0" borderId="0"/>
    <xf numFmtId="165" fontId="16" fillId="0" borderId="0" applyFont="0" applyFill="0" applyBorder="0" applyAlignment="0" applyProtection="0"/>
    <xf numFmtId="0" fontId="19" fillId="0" borderId="0" applyNumberFormat="0" applyFill="0" applyBorder="0" applyAlignment="0" applyProtection="0"/>
  </cellStyleXfs>
  <cellXfs count="69">
    <xf numFmtId="0" fontId="0" fillId="0" borderId="0" xfId="0"/>
    <xf numFmtId="0" fontId="0" fillId="2" borderId="1" xfId="0" applyFill="1" applyBorder="1"/>
    <xf numFmtId="0" fontId="1" fillId="3" borderId="1" xfId="0" applyFont="1" applyFill="1" applyBorder="1"/>
    <xf numFmtId="0" fontId="0" fillId="0" borderId="1" xfId="0" applyBorder="1"/>
    <xf numFmtId="0" fontId="1" fillId="3" borderId="1" xfId="1" quotePrefix="1" applyFont="1" applyFill="1" applyBorder="1" applyAlignment="1">
      <alignment horizontal="center" vertical="center"/>
    </xf>
    <xf numFmtId="0" fontId="4" fillId="0" borderId="1" xfId="1" quotePrefix="1" applyFont="1" applyBorder="1" applyAlignment="1">
      <alignment horizontal="center" vertical="center"/>
    </xf>
    <xf numFmtId="15" fontId="0" fillId="0" borderId="1" xfId="0" applyNumberFormat="1" applyBorder="1"/>
    <xf numFmtId="0" fontId="2" fillId="0" borderId="0" xfId="0" applyFont="1"/>
    <xf numFmtId="15" fontId="1" fillId="3" borderId="1" xfId="0" applyNumberFormat="1" applyFont="1" applyFill="1" applyBorder="1"/>
    <xf numFmtId="15" fontId="0" fillId="0" borderId="0" xfId="0" applyNumberFormat="1"/>
    <xf numFmtId="0" fontId="1" fillId="3" borderId="1" xfId="1" applyFont="1" applyFill="1" applyBorder="1" applyAlignment="1">
      <alignment horizontal="center" vertical="center"/>
    </xf>
    <xf numFmtId="15" fontId="0" fillId="2" borderId="1" xfId="0" applyNumberFormat="1" applyFill="1" applyBorder="1"/>
    <xf numFmtId="49" fontId="4" fillId="0" borderId="1" xfId="1" quotePrefix="1" applyNumberFormat="1" applyFont="1" applyBorder="1" applyAlignment="1">
      <alignment horizontal="center" vertical="center"/>
    </xf>
    <xf numFmtId="15" fontId="4" fillId="0" borderId="1" xfId="1" quotePrefix="1" applyNumberFormat="1" applyFont="1" applyBorder="1" applyAlignment="1">
      <alignment horizontal="center" vertical="center"/>
    </xf>
    <xf numFmtId="0" fontId="3" fillId="0" borderId="1" xfId="1" quotePrefix="1" applyBorder="1" applyAlignment="1">
      <alignment horizontal="center" vertical="center"/>
    </xf>
    <xf numFmtId="0" fontId="3" fillId="0" borderId="1" xfId="1" applyBorder="1" applyAlignment="1">
      <alignment horizontal="center" vertical="center"/>
    </xf>
    <xf numFmtId="15" fontId="3" fillId="0" borderId="1" xfId="1" applyNumberFormat="1" applyBorder="1" applyAlignment="1">
      <alignment horizontal="center" vertical="center"/>
    </xf>
    <xf numFmtId="0" fontId="5" fillId="3" borderId="1" xfId="1" quotePrefix="1" applyFont="1" applyFill="1" applyBorder="1" applyAlignment="1">
      <alignment horizontal="center" vertical="center"/>
    </xf>
    <xf numFmtId="0" fontId="5" fillId="3" borderId="1" xfId="1" applyFont="1" applyFill="1" applyBorder="1" applyAlignment="1">
      <alignment horizontal="center" vertical="center"/>
    </xf>
    <xf numFmtId="0" fontId="6" fillId="4" borderId="2" xfId="0" applyFont="1" applyFill="1" applyBorder="1"/>
    <xf numFmtId="164" fontId="7" fillId="4" borderId="2" xfId="0" applyNumberFormat="1" applyFont="1" applyFill="1" applyBorder="1"/>
    <xf numFmtId="0" fontId="8" fillId="0" borderId="2" xfId="0" applyFont="1" applyBorder="1"/>
    <xf numFmtId="0" fontId="9" fillId="0" borderId="0" xfId="0" applyFont="1"/>
    <xf numFmtId="0" fontId="10" fillId="0" borderId="0" xfId="0" applyFont="1"/>
    <xf numFmtId="0" fontId="0" fillId="0" borderId="3" xfId="0" applyBorder="1" applyAlignment="1">
      <alignment horizontal="center"/>
    </xf>
    <xf numFmtId="0" fontId="0" fillId="0" borderId="4" xfId="0" applyBorder="1"/>
    <xf numFmtId="0" fontId="0" fillId="5" borderId="3" xfId="0" applyFill="1"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8" borderId="3" xfId="0" applyFill="1" applyBorder="1" applyAlignment="1">
      <alignment horizontal="center"/>
    </xf>
    <xf numFmtId="0" fontId="0" fillId="9" borderId="3" xfId="0" applyFill="1" applyBorder="1" applyAlignment="1">
      <alignment horizontal="center"/>
    </xf>
    <xf numFmtId="0" fontId="0" fillId="0" borderId="5" xfId="0" applyBorder="1"/>
    <xf numFmtId="0" fontId="11" fillId="0" borderId="3" xfId="0" applyFont="1" applyBorder="1" applyAlignment="1">
      <alignment horizontal="center"/>
    </xf>
    <xf numFmtId="0" fontId="0" fillId="0" borderId="3" xfId="0" applyBorder="1"/>
    <xf numFmtId="0" fontId="12" fillId="0" borderId="3" xfId="0" applyFont="1" applyBorder="1" applyAlignment="1">
      <alignment horizontal="center"/>
    </xf>
    <xf numFmtId="0" fontId="1" fillId="10" borderId="1" xfId="0" applyFont="1" applyFill="1" applyBorder="1"/>
    <xf numFmtId="0" fontId="0" fillId="0" borderId="0" xfId="0" applyAlignment="1">
      <alignment horizontal="center"/>
    </xf>
    <xf numFmtId="0" fontId="15" fillId="11" borderId="6" xfId="2" applyFont="1" applyFill="1" applyBorder="1" applyAlignment="1">
      <alignment horizontal="center"/>
    </xf>
    <xf numFmtId="166" fontId="15" fillId="11" borderId="6" xfId="3" applyNumberFormat="1" applyFont="1" applyFill="1" applyBorder="1" applyAlignment="1">
      <alignment horizontal="center"/>
    </xf>
    <xf numFmtId="167" fontId="14" fillId="0" borderId="6" xfId="2" applyNumberFormat="1" applyBorder="1" applyAlignment="1">
      <alignment horizontal="left"/>
    </xf>
    <xf numFmtId="166" fontId="14" fillId="0" borderId="6" xfId="3" applyNumberFormat="1" applyFont="1" applyBorder="1"/>
    <xf numFmtId="0" fontId="14" fillId="0" borderId="6" xfId="2" applyBorder="1"/>
    <xf numFmtId="0" fontId="17" fillId="0" borderId="0" xfId="2" applyFont="1"/>
    <xf numFmtId="0" fontId="18" fillId="0" borderId="0" xfId="2" applyFont="1"/>
    <xf numFmtId="0" fontId="12" fillId="0" borderId="0" xfId="0" applyFont="1"/>
    <xf numFmtId="0" fontId="20" fillId="3" borderId="1" xfId="0" applyFont="1" applyFill="1" applyBorder="1"/>
    <xf numFmtId="0" fontId="20" fillId="3" borderId="1" xfId="0" applyFont="1" applyFill="1" applyBorder="1" applyAlignment="1">
      <alignment wrapText="1"/>
    </xf>
    <xf numFmtId="38" fontId="21" fillId="0" borderId="1" xfId="0" applyNumberFormat="1" applyFont="1" applyBorder="1"/>
    <xf numFmtId="38" fontId="0" fillId="2" borderId="1" xfId="0" applyNumberFormat="1" applyFill="1" applyBorder="1"/>
    <xf numFmtId="0" fontId="1" fillId="12" borderId="0" xfId="0" applyFont="1" applyFill="1"/>
    <xf numFmtId="0" fontId="0" fillId="2" borderId="7" xfId="0" applyFill="1" applyBorder="1"/>
    <xf numFmtId="0" fontId="1" fillId="3" borderId="1" xfId="0" applyFont="1" applyFill="1" applyBorder="1" applyAlignment="1">
      <alignment horizontal="center"/>
    </xf>
    <xf numFmtId="14" fontId="0" fillId="0" borderId="1" xfId="0" applyNumberFormat="1" applyBorder="1"/>
    <xf numFmtId="0" fontId="2" fillId="0" borderId="0" xfId="0" applyFont="1" applyAlignment="1">
      <alignment horizontal="center"/>
    </xf>
    <xf numFmtId="2" fontId="0" fillId="2" borderId="7" xfId="0" applyNumberFormat="1" applyFill="1" applyBorder="1"/>
    <xf numFmtId="0" fontId="19" fillId="0" borderId="0" xfId="4"/>
    <xf numFmtId="0" fontId="1" fillId="10" borderId="1" xfId="0" applyFont="1" applyFill="1" applyBorder="1" applyAlignment="1">
      <alignment horizontal="center"/>
    </xf>
    <xf numFmtId="0" fontId="0" fillId="0" borderId="1" xfId="0" applyBorder="1" applyAlignment="1">
      <alignment horizontal="center"/>
    </xf>
    <xf numFmtId="14" fontId="0" fillId="0" borderId="0" xfId="0" applyNumberFormat="1"/>
    <xf numFmtId="0" fontId="13" fillId="10" borderId="1" xfId="0" applyFont="1" applyFill="1" applyBorder="1"/>
    <xf numFmtId="14" fontId="0" fillId="2" borderId="1" xfId="0" applyNumberFormat="1" applyFill="1" applyBorder="1"/>
    <xf numFmtId="0" fontId="2" fillId="0" borderId="1" xfId="0" applyFont="1" applyBorder="1"/>
    <xf numFmtId="0" fontId="2" fillId="0" borderId="1" xfId="0" applyFont="1" applyBorder="1" applyAlignment="1">
      <alignment horizontal="center"/>
    </xf>
    <xf numFmtId="0" fontId="20" fillId="13" borderId="1" xfId="0" applyFont="1" applyFill="1" applyBorder="1" applyAlignment="1">
      <alignment horizontal="center" vertical="top"/>
    </xf>
    <xf numFmtId="0" fontId="0" fillId="2" borderId="1" xfId="0" applyFill="1" applyBorder="1" applyAlignment="1">
      <alignment horizontal="center"/>
    </xf>
    <xf numFmtId="0" fontId="0" fillId="2" borderId="8" xfId="0" applyFill="1" applyBorder="1"/>
    <xf numFmtId="0" fontId="0" fillId="14" borderId="0" xfId="0" applyFill="1"/>
    <xf numFmtId="0" fontId="0" fillId="0" borderId="0" xfId="0" applyAlignment="1">
      <alignment horizontal="center"/>
    </xf>
    <xf numFmtId="0" fontId="0" fillId="0" borderId="0" xfId="0" applyAlignment="1">
      <alignment horizontal="center" wrapText="1"/>
    </xf>
  </cellXfs>
  <cellStyles count="5">
    <cellStyle name="Comma_Pivot Tables-Bank Data" xfId="3" xr:uid="{76E49B59-EB39-46F2-80DB-E4958888B180}"/>
    <cellStyle name="Hyperlink" xfId="4" builtinId="8"/>
    <cellStyle name="Normal" xfId="0" builtinId="0"/>
    <cellStyle name="Normal_Pivot - Salesperson Reports" xfId="1" xr:uid="{00000000-0005-0000-0000-000001000000}"/>
    <cellStyle name="Normal_Pivot Tables-Bank Data" xfId="2" xr:uid="{0F709AF0-2839-48AE-B525-F870168C5581}"/>
  </cellStyles>
  <dxfs count="2">
    <dxf>
      <fill>
        <patternFill>
          <bgColor theme="9" tint="0.59996337778862885"/>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317500</xdr:colOff>
      <xdr:row>15</xdr:row>
      <xdr:rowOff>57150</xdr:rowOff>
    </xdr:from>
    <xdr:to>
      <xdr:col>18</xdr:col>
      <xdr:colOff>317500</xdr:colOff>
      <xdr:row>17</xdr:row>
      <xdr:rowOff>6350</xdr:rowOff>
    </xdr:to>
    <xdr:sp macro="" textlink="">
      <xdr:nvSpPr>
        <xdr:cNvPr id="2" name="Line 1">
          <a:extLst>
            <a:ext uri="{FF2B5EF4-FFF2-40B4-BE49-F238E27FC236}">
              <a16:creationId xmlns:a16="http://schemas.microsoft.com/office/drawing/2014/main" id="{8E937C9D-64FB-49D1-A538-F50DFA223E9C}"/>
            </a:ext>
          </a:extLst>
        </xdr:cNvPr>
        <xdr:cNvSpPr>
          <a:spLocks noChangeShapeType="1"/>
        </xdr:cNvSpPr>
      </xdr:nvSpPr>
      <xdr:spPr bwMode="auto">
        <a:xfrm>
          <a:off x="13214350" y="26098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317500</xdr:colOff>
      <xdr:row>16</xdr:row>
      <xdr:rowOff>57150</xdr:rowOff>
    </xdr:from>
    <xdr:to>
      <xdr:col>19</xdr:col>
      <xdr:colOff>317500</xdr:colOff>
      <xdr:row>18</xdr:row>
      <xdr:rowOff>6350</xdr:rowOff>
    </xdr:to>
    <xdr:sp macro="" textlink="">
      <xdr:nvSpPr>
        <xdr:cNvPr id="3" name="Line 2">
          <a:extLst>
            <a:ext uri="{FF2B5EF4-FFF2-40B4-BE49-F238E27FC236}">
              <a16:creationId xmlns:a16="http://schemas.microsoft.com/office/drawing/2014/main" id="{A92A8136-06F2-4967-907C-E95470EFF4F4}"/>
            </a:ext>
          </a:extLst>
        </xdr:cNvPr>
        <xdr:cNvSpPr>
          <a:spLocks noChangeShapeType="1"/>
        </xdr:cNvSpPr>
      </xdr:nvSpPr>
      <xdr:spPr bwMode="auto">
        <a:xfrm>
          <a:off x="13823950" y="27749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285750</xdr:colOff>
      <xdr:row>9</xdr:row>
      <xdr:rowOff>6350</xdr:rowOff>
    </xdr:from>
    <xdr:to>
      <xdr:col>12</xdr:col>
      <xdr:colOff>393700</xdr:colOff>
      <xdr:row>12</xdr:row>
      <xdr:rowOff>57150</xdr:rowOff>
    </xdr:to>
    <xdr:grpSp>
      <xdr:nvGrpSpPr>
        <xdr:cNvPr id="4" name="Group 3">
          <a:extLst>
            <a:ext uri="{FF2B5EF4-FFF2-40B4-BE49-F238E27FC236}">
              <a16:creationId xmlns:a16="http://schemas.microsoft.com/office/drawing/2014/main" id="{E8FA1EFF-3A50-4264-9FE3-E8563C84E614}"/>
            </a:ext>
          </a:extLst>
        </xdr:cNvPr>
        <xdr:cNvGrpSpPr>
          <a:grpSpLocks/>
        </xdr:cNvGrpSpPr>
      </xdr:nvGrpSpPr>
      <xdr:grpSpPr bwMode="auto">
        <a:xfrm>
          <a:off x="6248400" y="1825625"/>
          <a:ext cx="2870200" cy="631825"/>
          <a:chOff x="505" y="108"/>
          <a:chExt cx="203" cy="56"/>
        </a:xfrm>
      </xdr:grpSpPr>
      <xdr:sp macro="" textlink="">
        <xdr:nvSpPr>
          <xdr:cNvPr id="5" name="Line 4">
            <a:extLst>
              <a:ext uri="{FF2B5EF4-FFF2-40B4-BE49-F238E27FC236}">
                <a16:creationId xmlns:a16="http://schemas.microsoft.com/office/drawing/2014/main" id="{25C30975-E83A-E9E9-A25F-13E66AD53C90}"/>
              </a:ext>
            </a:extLst>
          </xdr:cNvPr>
          <xdr:cNvSpPr>
            <a:spLocks noChangeShapeType="1"/>
          </xdr:cNvSpPr>
        </xdr:nvSpPr>
        <xdr:spPr bwMode="auto">
          <a:xfrm>
            <a:off x="609" y="108"/>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A2A397F-AD2C-1B2B-46EA-C5D960CC2A1C}"/>
              </a:ext>
            </a:extLst>
          </xdr:cNvPr>
          <xdr:cNvSpPr>
            <a:spLocks noChangeShapeType="1"/>
          </xdr:cNvSpPr>
        </xdr:nvSpPr>
        <xdr:spPr bwMode="auto">
          <a:xfrm>
            <a:off x="505" y="135"/>
            <a:ext cx="203"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A7E3B33-9F1E-1D48-E0E4-6F2B4C80B1D0}"/>
              </a:ext>
            </a:extLst>
          </xdr:cNvPr>
          <xdr:cNvSpPr>
            <a:spLocks noChangeShapeType="1"/>
          </xdr:cNvSpPr>
        </xdr:nvSpPr>
        <xdr:spPr bwMode="auto">
          <a:xfrm>
            <a:off x="5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65103EB-938F-C603-85E7-2C9E0C97DB9A}"/>
              </a:ext>
            </a:extLst>
          </xdr:cNvPr>
          <xdr:cNvSpPr>
            <a:spLocks noChangeShapeType="1"/>
          </xdr:cNvSpPr>
        </xdr:nvSpPr>
        <xdr:spPr bwMode="auto">
          <a:xfrm>
            <a:off x="7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8</xdr:col>
      <xdr:colOff>260350</xdr:colOff>
      <xdr:row>15</xdr:row>
      <xdr:rowOff>158750</xdr:rowOff>
    </xdr:from>
    <xdr:to>
      <xdr:col>8</xdr:col>
      <xdr:colOff>260350</xdr:colOff>
      <xdr:row>18</xdr:row>
      <xdr:rowOff>0</xdr:rowOff>
    </xdr:to>
    <xdr:sp macro="" textlink="">
      <xdr:nvSpPr>
        <xdr:cNvPr id="9" name="Line 8">
          <a:extLst>
            <a:ext uri="{FF2B5EF4-FFF2-40B4-BE49-F238E27FC236}">
              <a16:creationId xmlns:a16="http://schemas.microsoft.com/office/drawing/2014/main" id="{D9A701FB-9FE9-4A21-A64C-EEEF59ECC2E5}"/>
            </a:ext>
          </a:extLst>
        </xdr:cNvPr>
        <xdr:cNvSpPr>
          <a:spLocks noChangeShapeType="1"/>
        </xdr:cNvSpPr>
      </xdr:nvSpPr>
      <xdr:spPr bwMode="auto">
        <a:xfrm>
          <a:off x="6419850" y="2711450"/>
          <a:ext cx="0" cy="3302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304800</xdr:colOff>
      <xdr:row>16</xdr:row>
      <xdr:rowOff>6350</xdr:rowOff>
    </xdr:from>
    <xdr:to>
      <xdr:col>12</xdr:col>
      <xdr:colOff>304800</xdr:colOff>
      <xdr:row>18</xdr:row>
      <xdr:rowOff>0</xdr:rowOff>
    </xdr:to>
    <xdr:sp macro="" textlink="">
      <xdr:nvSpPr>
        <xdr:cNvPr id="10" name="Line 9">
          <a:extLst>
            <a:ext uri="{FF2B5EF4-FFF2-40B4-BE49-F238E27FC236}">
              <a16:creationId xmlns:a16="http://schemas.microsoft.com/office/drawing/2014/main" id="{5E4A0B87-C12C-4EE6-B997-972C62EFA278}"/>
            </a:ext>
          </a:extLst>
        </xdr:cNvPr>
        <xdr:cNvSpPr>
          <a:spLocks noChangeShapeType="1"/>
        </xdr:cNvSpPr>
      </xdr:nvSpPr>
      <xdr:spPr bwMode="auto">
        <a:xfrm>
          <a:off x="9271000" y="2724150"/>
          <a:ext cx="0" cy="3175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74E9-4A5F-4668-AF62-712201824BA8}">
  <dimension ref="A1:XFC17"/>
  <sheetViews>
    <sheetView workbookViewId="0">
      <selection activeCell="O5" sqref="O5"/>
    </sheetView>
  </sheetViews>
  <sheetFormatPr defaultRowHeight="15" x14ac:dyDescent="0.25"/>
  <cols>
    <col min="2" max="2" width="12.28515625" bestFit="1" customWidth="1"/>
    <col min="3" max="3" width="15" bestFit="1" customWidth="1"/>
    <col min="4" max="4" width="11.85546875" bestFit="1" customWidth="1"/>
    <col min="5" max="5" width="11.85546875" customWidth="1"/>
    <col min="9" max="9" width="13.85546875" bestFit="1" customWidth="1"/>
    <col min="11" max="11" width="9.42578125" customWidth="1"/>
    <col min="12" max="12" width="13.85546875" bestFit="1" customWidth="1"/>
    <col min="15" max="15" width="12.140625" customWidth="1"/>
  </cols>
  <sheetData>
    <row r="1" spans="1:15 16378:16383" x14ac:dyDescent="0.25">
      <c r="XEX1" s="6" t="e">
        <f ca="1">VLOOKUP(XEW1,INDIRECT($B$4&amp;"!$A$1:$B$800"),2,0)</f>
        <v>#N/A</v>
      </c>
      <c r="XFC1" t="s">
        <v>69</v>
      </c>
    </row>
    <row r="2" spans="1:15 16378:16383" s="7" customFormat="1" x14ac:dyDescent="0.25">
      <c r="A2" s="7" t="s">
        <v>70</v>
      </c>
      <c r="H2" s="7" t="s">
        <v>71</v>
      </c>
      <c r="N2" s="7" t="s">
        <v>270</v>
      </c>
    </row>
    <row r="4" spans="1:15 16378:16383" x14ac:dyDescent="0.25">
      <c r="A4" s="4" t="s">
        <v>0</v>
      </c>
      <c r="B4" s="10" t="s">
        <v>72</v>
      </c>
      <c r="C4" s="10" t="s">
        <v>73</v>
      </c>
      <c r="D4" s="10" t="s">
        <v>74</v>
      </c>
      <c r="E4" s="10" t="s">
        <v>75</v>
      </c>
      <c r="H4" s="4" t="s">
        <v>0</v>
      </c>
      <c r="I4" s="10" t="s">
        <v>76</v>
      </c>
      <c r="K4" s="4" t="s">
        <v>0</v>
      </c>
      <c r="L4" s="10" t="s">
        <v>76</v>
      </c>
      <c r="N4" s="4" t="s">
        <v>0</v>
      </c>
      <c r="O4" s="10" t="s">
        <v>7</v>
      </c>
    </row>
    <row r="5" spans="1:15 16378:16383" x14ac:dyDescent="0.25">
      <c r="A5" s="5">
        <v>10248</v>
      </c>
      <c r="B5" s="6" t="str">
        <f>_xlfn.XLOOKUP(A5,Country!A1:A800,Country!B1:B800,0,0)</f>
        <v>UK</v>
      </c>
      <c r="C5" s="11" t="s">
        <v>77</v>
      </c>
      <c r="D5" s="11">
        <v>37818</v>
      </c>
      <c r="E5" s="11" t="s">
        <v>2</v>
      </c>
      <c r="H5" s="12">
        <v>10248</v>
      </c>
      <c r="I5" s="13">
        <v>38466</v>
      </c>
      <c r="K5" s="5">
        <v>10248</v>
      </c>
      <c r="L5" s="11">
        <f>_xlfn.XLOOKUP(K5,Date!A1:A800,Date!B1:B800,0,0)</f>
        <v>37818</v>
      </c>
      <c r="N5" s="5">
        <v>10248</v>
      </c>
      <c r="O5" s="11" t="str">
        <f>_xlfn.XLOOKUP(N5,Name!A1:A800,Name!B1:B800,0,0)</f>
        <v>Buchanan</v>
      </c>
    </row>
    <row r="6" spans="1:15 16378:16383" x14ac:dyDescent="0.25">
      <c r="A6" s="5">
        <v>10249</v>
      </c>
      <c r="B6" s="6" t="str">
        <f>_xlfn.XLOOKUP(A6,Country!A2:A801,Country!B2:B801,0,0)</f>
        <v>UK</v>
      </c>
      <c r="C6" s="11" t="s">
        <v>77</v>
      </c>
      <c r="D6" s="11">
        <v>37812</v>
      </c>
      <c r="E6" s="11" t="s">
        <v>3</v>
      </c>
      <c r="H6" s="12">
        <v>10249</v>
      </c>
      <c r="I6" s="13">
        <v>38473</v>
      </c>
      <c r="K6" s="5">
        <v>10249</v>
      </c>
      <c r="L6" s="11">
        <f>_xlfn.XLOOKUP(K6,Date!A2:A801,Date!B2:B801,0,0)</f>
        <v>37812</v>
      </c>
      <c r="N6" s="5">
        <v>10249</v>
      </c>
      <c r="O6" s="11" t="str">
        <f>_xlfn.XLOOKUP(N6,Name!A2:A801,Name!B2:B801,0,0)</f>
        <v>Suyama</v>
      </c>
    </row>
    <row r="7" spans="1:15 16378:16383" x14ac:dyDescent="0.25">
      <c r="A7" s="5">
        <v>10250</v>
      </c>
      <c r="B7" s="6" t="str">
        <f>_xlfn.XLOOKUP(A7,Country!A3:A802,Country!B3:B802,0,0)</f>
        <v>USA</v>
      </c>
      <c r="C7" s="11" t="s">
        <v>78</v>
      </c>
      <c r="D7" s="11">
        <v>37814</v>
      </c>
      <c r="E7" s="11" t="s">
        <v>4</v>
      </c>
      <c r="H7" s="12">
        <v>10250</v>
      </c>
      <c r="I7" s="13">
        <v>38471</v>
      </c>
      <c r="K7" s="5">
        <v>10250</v>
      </c>
      <c r="L7" s="11">
        <f>_xlfn.XLOOKUP(K7,Date!A3:A802,Date!B3:B802,0,0)</f>
        <v>37814</v>
      </c>
      <c r="N7" s="5">
        <v>10250</v>
      </c>
      <c r="O7" s="11" t="str">
        <f>_xlfn.XLOOKUP(N7,Name!A3:A802,Name!B3:B802,0,0)</f>
        <v>Lee</v>
      </c>
    </row>
    <row r="8" spans="1:15 16378:16383" x14ac:dyDescent="0.25">
      <c r="A8" s="5">
        <v>10251</v>
      </c>
      <c r="B8" s="6" t="str">
        <f>_xlfn.XLOOKUP(A8,Country!A4:A803,Country!B4:B803,0,0)</f>
        <v>USA</v>
      </c>
      <c r="C8" s="11" t="s">
        <v>78</v>
      </c>
      <c r="D8" s="11">
        <v>37817</v>
      </c>
      <c r="E8" s="11" t="s">
        <v>5</v>
      </c>
      <c r="H8" s="12">
        <v>10251</v>
      </c>
      <c r="I8" s="13">
        <v>38473</v>
      </c>
      <c r="K8" s="5">
        <v>10251</v>
      </c>
      <c r="L8" s="11">
        <f>_xlfn.XLOOKUP(K8,Date!A4:A803,Date!B4:B803,0,0)</f>
        <v>37817</v>
      </c>
      <c r="N8" s="5">
        <v>10251</v>
      </c>
      <c r="O8" s="11" t="str">
        <f>_xlfn.XLOOKUP(N8,Name!A4:A803,Name!B4:B803,0,0)</f>
        <v>Leverling</v>
      </c>
    </row>
    <row r="9" spans="1:15 16378:16383" x14ac:dyDescent="0.25">
      <c r="A9" s="5">
        <v>10252</v>
      </c>
      <c r="B9" s="6" t="str">
        <f>_xlfn.XLOOKUP(A9,Country!A5:A804,Country!B5:B804,0,0)</f>
        <v>USA</v>
      </c>
      <c r="C9" s="11" t="s">
        <v>78</v>
      </c>
      <c r="D9" s="11">
        <v>37813</v>
      </c>
      <c r="E9" s="11" t="s">
        <v>4</v>
      </c>
      <c r="H9" s="12">
        <v>10252</v>
      </c>
      <c r="I9" s="13">
        <v>38470</v>
      </c>
      <c r="N9" s="5">
        <v>10252</v>
      </c>
      <c r="O9" s="11" t="str">
        <f>_xlfn.XLOOKUP(N9,Name!A5:A804,Name!B5:B804,0,0)</f>
        <v>Lee</v>
      </c>
    </row>
    <row r="10" spans="1:15 16378:16383" x14ac:dyDescent="0.25">
      <c r="A10" s="5">
        <v>10253</v>
      </c>
      <c r="B10" s="6" t="str">
        <f>_xlfn.XLOOKUP(A10,Country!A6:A805,Country!B6:B805,0,0)</f>
        <v>USA</v>
      </c>
      <c r="C10" s="11" t="s">
        <v>78</v>
      </c>
      <c r="D10" s="11">
        <v>37818</v>
      </c>
      <c r="E10" s="11" t="s">
        <v>5</v>
      </c>
      <c r="H10" s="12">
        <v>10253</v>
      </c>
      <c r="I10" s="13">
        <v>38472</v>
      </c>
      <c r="N10" s="5">
        <v>10253</v>
      </c>
      <c r="O10" s="11" t="str">
        <f>_xlfn.XLOOKUP(N10,Name!A6:A805,Name!B6:B805,0,0)</f>
        <v>Leverling</v>
      </c>
    </row>
    <row r="11" spans="1:15 16378:16383" x14ac:dyDescent="0.25">
      <c r="A11" s="5">
        <v>10254</v>
      </c>
      <c r="B11" s="6">
        <f>_xlfn.XLOOKUP(A11,Country!A7:A806,Country!B7:B806,0,0)</f>
        <v>0</v>
      </c>
      <c r="C11" s="11" t="s">
        <v>77</v>
      </c>
      <c r="D11" s="11">
        <v>37825</v>
      </c>
      <c r="E11" s="11" t="s">
        <v>2</v>
      </c>
      <c r="H11" s="12">
        <v>10254</v>
      </c>
      <c r="I11" s="13">
        <v>38469</v>
      </c>
      <c r="N11" s="5">
        <v>10254</v>
      </c>
      <c r="O11" s="11" t="str">
        <f>_xlfn.XLOOKUP(N11,Name!A7:A806,Name!B7:B806,0,0)</f>
        <v>Buchanan</v>
      </c>
    </row>
    <row r="12" spans="1:15 16378:16383" x14ac:dyDescent="0.25">
      <c r="A12" s="5">
        <v>10255</v>
      </c>
      <c r="B12" s="6">
        <f>_xlfn.XLOOKUP(A12,Country!A8:A807,Country!B8:B807,0,0)</f>
        <v>0</v>
      </c>
      <c r="C12" s="11" t="s">
        <v>77</v>
      </c>
      <c r="D12" s="11">
        <v>37817</v>
      </c>
      <c r="E12" s="11" t="s">
        <v>6</v>
      </c>
      <c r="H12" s="12">
        <v>10255</v>
      </c>
      <c r="I12" s="13">
        <v>38464</v>
      </c>
      <c r="N12" s="5">
        <v>10255</v>
      </c>
      <c r="O12" s="11" t="str">
        <f>_xlfn.XLOOKUP(N12,Name!A8:A807,Name!B8:B807,0,0)</f>
        <v>Dodsworth</v>
      </c>
    </row>
    <row r="13" spans="1:15 16378:16383" x14ac:dyDescent="0.25">
      <c r="A13" s="5">
        <v>10256</v>
      </c>
      <c r="B13" s="6" t="str">
        <f>_xlfn.XLOOKUP(A13,Country!A9:A808,Country!B9:B808,0,0)</f>
        <v>USA</v>
      </c>
      <c r="C13" s="11" t="s">
        <v>78</v>
      </c>
      <c r="D13" s="11">
        <v>37819</v>
      </c>
      <c r="E13" s="11" t="s">
        <v>5</v>
      </c>
      <c r="H13" s="12">
        <v>10256</v>
      </c>
      <c r="I13" s="13">
        <f>I11+10</f>
        <v>38479</v>
      </c>
      <c r="N13" s="5">
        <v>10256</v>
      </c>
      <c r="O13" s="11" t="str">
        <f>_xlfn.XLOOKUP(N13,Name!A9:A808,Name!B9:B808,0,0)</f>
        <v>Leverling</v>
      </c>
    </row>
    <row r="14" spans="1:15 16378:16383" x14ac:dyDescent="0.25">
      <c r="A14" s="5">
        <v>10257</v>
      </c>
      <c r="B14" s="6" t="str">
        <f>_xlfn.XLOOKUP(A14,Country!A10:A809,Country!B10:B809,0,0)</f>
        <v>USA</v>
      </c>
      <c r="C14" s="11" t="s">
        <v>78</v>
      </c>
      <c r="D14" s="11">
        <v>37824</v>
      </c>
      <c r="E14" s="11" t="s">
        <v>4</v>
      </c>
      <c r="H14" s="12">
        <v>10257</v>
      </c>
      <c r="I14" s="13">
        <f t="shared" ref="I14:I17" si="0">I12+10</f>
        <v>38474</v>
      </c>
      <c r="N14" s="5">
        <v>10257</v>
      </c>
      <c r="O14" s="11" t="str">
        <f>_xlfn.XLOOKUP(N14,Name!A10:A809,Name!B10:B809,0,0)</f>
        <v>Lee</v>
      </c>
    </row>
    <row r="15" spans="1:15 16378:16383" x14ac:dyDescent="0.25">
      <c r="A15" s="5">
        <v>10258</v>
      </c>
      <c r="B15" s="6" t="str">
        <f>_xlfn.XLOOKUP(A15,Country!A11:A810,Country!B11:B810,0,0)</f>
        <v>USA</v>
      </c>
      <c r="C15" s="11" t="s">
        <v>78</v>
      </c>
      <c r="D15" s="11">
        <v>37825</v>
      </c>
      <c r="E15" s="11" t="s">
        <v>79</v>
      </c>
      <c r="H15" s="12">
        <v>10258</v>
      </c>
      <c r="I15" s="13">
        <f t="shared" si="0"/>
        <v>38489</v>
      </c>
      <c r="N15" s="5">
        <v>10258</v>
      </c>
      <c r="O15" s="11" t="str">
        <f>_xlfn.XLOOKUP(N15,Name!A11:A810,Name!B11:B810,0,0)</f>
        <v>Davolio</v>
      </c>
    </row>
    <row r="16" spans="1:15 16378:16383" x14ac:dyDescent="0.25">
      <c r="A16" s="5">
        <v>10259</v>
      </c>
      <c r="B16" s="6" t="str">
        <f>_xlfn.XLOOKUP(A16,Country!A12:A811,Country!B12:B811,0,0)</f>
        <v>USA</v>
      </c>
      <c r="C16" s="11" t="s">
        <v>78</v>
      </c>
      <c r="D16" s="11">
        <v>37827</v>
      </c>
      <c r="E16" s="11" t="s">
        <v>4</v>
      </c>
      <c r="H16" s="12">
        <v>10259</v>
      </c>
      <c r="I16" s="13">
        <f t="shared" si="0"/>
        <v>38484</v>
      </c>
      <c r="N16" s="5">
        <v>10259</v>
      </c>
      <c r="O16" s="11" t="str">
        <f>_xlfn.XLOOKUP(N16,Name!A12:A811,Name!B12:B811,0,0)</f>
        <v>Lee</v>
      </c>
    </row>
    <row r="17" spans="1:15" x14ac:dyDescent="0.25">
      <c r="A17" s="5">
        <v>10260</v>
      </c>
      <c r="B17" s="6" t="str">
        <f>_xlfn.XLOOKUP(A17,Country!A13:A812,Country!B13:B812,0,0)</f>
        <v>USA</v>
      </c>
      <c r="C17" s="11" t="s">
        <v>78</v>
      </c>
      <c r="D17" s="11">
        <v>37831</v>
      </c>
      <c r="E17" s="11" t="s">
        <v>4</v>
      </c>
      <c r="H17" s="12">
        <v>10260</v>
      </c>
      <c r="I17" s="13">
        <f t="shared" si="0"/>
        <v>38499</v>
      </c>
      <c r="N17" s="5">
        <v>10260</v>
      </c>
      <c r="O17" s="11" t="str">
        <f>_xlfn.XLOOKUP(N17,Name!A13:A812,Name!B13:B812,0,0)</f>
        <v>Lee</v>
      </c>
    </row>
  </sheetData>
  <dataValidations count="1">
    <dataValidation type="list" allowBlank="1" showInputMessage="1" showErrorMessage="1" sqref="B4" xr:uid="{5502D52E-2A57-4ABE-A666-8A1D9DBF4617}">
      <formula1>"Name,Date,Country"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E0BB-0FB5-4439-9AE1-432408CDA686}">
  <dimension ref="A1:B800"/>
  <sheetViews>
    <sheetView workbookViewId="0">
      <selection sqref="A1:B800"/>
    </sheetView>
  </sheetViews>
  <sheetFormatPr defaultRowHeight="15" x14ac:dyDescent="0.25"/>
  <sheetData>
    <row r="1" spans="1:2" x14ac:dyDescent="0.25">
      <c r="A1" s="4" t="s">
        <v>0</v>
      </c>
      <c r="B1" s="10" t="s">
        <v>1</v>
      </c>
    </row>
    <row r="2" spans="1:2" x14ac:dyDescent="0.25">
      <c r="A2" s="14">
        <v>10248</v>
      </c>
      <c r="B2" s="14" t="s">
        <v>2</v>
      </c>
    </row>
    <row r="3" spans="1:2" x14ac:dyDescent="0.25">
      <c r="A3" s="14">
        <v>10249</v>
      </c>
      <c r="B3" s="14" t="s">
        <v>3</v>
      </c>
    </row>
    <row r="4" spans="1:2" x14ac:dyDescent="0.25">
      <c r="A4" s="14">
        <v>10250</v>
      </c>
      <c r="B4" s="15" t="s">
        <v>4</v>
      </c>
    </row>
    <row r="5" spans="1:2" x14ac:dyDescent="0.25">
      <c r="A5" s="14">
        <v>10251</v>
      </c>
      <c r="B5" s="14" t="s">
        <v>5</v>
      </c>
    </row>
    <row r="6" spans="1:2" x14ac:dyDescent="0.25">
      <c r="A6" s="14">
        <v>10252</v>
      </c>
      <c r="B6" s="15" t="s">
        <v>4</v>
      </c>
    </row>
    <row r="7" spans="1:2" x14ac:dyDescent="0.25">
      <c r="A7" s="14">
        <v>10253</v>
      </c>
      <c r="B7" s="14" t="s">
        <v>5</v>
      </c>
    </row>
    <row r="8" spans="1:2" x14ac:dyDescent="0.25">
      <c r="A8" s="14">
        <v>10254</v>
      </c>
      <c r="B8" s="14" t="s">
        <v>2</v>
      </c>
    </row>
    <row r="9" spans="1:2" x14ac:dyDescent="0.25">
      <c r="A9" s="14">
        <v>10255</v>
      </c>
      <c r="B9" s="14" t="s">
        <v>6</v>
      </c>
    </row>
    <row r="10" spans="1:2" x14ac:dyDescent="0.25">
      <c r="A10" s="14">
        <v>10256</v>
      </c>
      <c r="B10" s="14" t="s">
        <v>5</v>
      </c>
    </row>
    <row r="11" spans="1:2" x14ac:dyDescent="0.25">
      <c r="A11" s="14">
        <v>10257</v>
      </c>
      <c r="B11" s="15" t="s">
        <v>4</v>
      </c>
    </row>
    <row r="12" spans="1:2" x14ac:dyDescent="0.25">
      <c r="A12" s="14">
        <v>10258</v>
      </c>
      <c r="B12" s="14" t="s">
        <v>79</v>
      </c>
    </row>
    <row r="13" spans="1:2" x14ac:dyDescent="0.25">
      <c r="A13" s="14">
        <v>10259</v>
      </c>
      <c r="B13" s="15" t="s">
        <v>4</v>
      </c>
    </row>
    <row r="14" spans="1:2" x14ac:dyDescent="0.25">
      <c r="A14" s="14">
        <v>10260</v>
      </c>
      <c r="B14" s="15" t="s">
        <v>4</v>
      </c>
    </row>
    <row r="15" spans="1:2" x14ac:dyDescent="0.25">
      <c r="A15" s="14">
        <v>10261</v>
      </c>
      <c r="B15" s="15" t="s">
        <v>4</v>
      </c>
    </row>
    <row r="16" spans="1:2" x14ac:dyDescent="0.25">
      <c r="A16" s="14">
        <v>10262</v>
      </c>
      <c r="B16" s="14" t="s">
        <v>80</v>
      </c>
    </row>
    <row r="17" spans="1:2" x14ac:dyDescent="0.25">
      <c r="A17" s="14">
        <v>10263</v>
      </c>
      <c r="B17" s="14" t="s">
        <v>6</v>
      </c>
    </row>
    <row r="18" spans="1:2" x14ac:dyDescent="0.25">
      <c r="A18" s="14">
        <v>10264</v>
      </c>
      <c r="B18" s="14" t="s">
        <v>3</v>
      </c>
    </row>
    <row r="19" spans="1:2" x14ac:dyDescent="0.25">
      <c r="A19" s="14">
        <v>10265</v>
      </c>
      <c r="B19" s="14" t="s">
        <v>81</v>
      </c>
    </row>
    <row r="20" spans="1:2" x14ac:dyDescent="0.25">
      <c r="A20" s="14">
        <v>10266</v>
      </c>
      <c r="B20" s="14" t="s">
        <v>5</v>
      </c>
    </row>
    <row r="21" spans="1:2" x14ac:dyDescent="0.25">
      <c r="A21" s="14">
        <v>10267</v>
      </c>
      <c r="B21" s="15" t="s">
        <v>4</v>
      </c>
    </row>
    <row r="22" spans="1:2" x14ac:dyDescent="0.25">
      <c r="A22" s="14">
        <v>10268</v>
      </c>
      <c r="B22" s="14" t="s">
        <v>80</v>
      </c>
    </row>
    <row r="23" spans="1:2" x14ac:dyDescent="0.25">
      <c r="A23" s="14">
        <v>10269</v>
      </c>
      <c r="B23" s="14" t="s">
        <v>2</v>
      </c>
    </row>
    <row r="24" spans="1:2" x14ac:dyDescent="0.25">
      <c r="A24" s="14">
        <v>10270</v>
      </c>
      <c r="B24" s="14" t="s">
        <v>79</v>
      </c>
    </row>
    <row r="25" spans="1:2" x14ac:dyDescent="0.25">
      <c r="A25" s="14">
        <v>10271</v>
      </c>
      <c r="B25" s="14" t="s">
        <v>3</v>
      </c>
    </row>
    <row r="26" spans="1:2" x14ac:dyDescent="0.25">
      <c r="A26" s="14">
        <v>10272</v>
      </c>
      <c r="B26" s="14" t="s">
        <v>3</v>
      </c>
    </row>
    <row r="27" spans="1:2" x14ac:dyDescent="0.25">
      <c r="A27" s="14">
        <v>10273</v>
      </c>
      <c r="B27" s="14" t="s">
        <v>5</v>
      </c>
    </row>
    <row r="28" spans="1:2" x14ac:dyDescent="0.25">
      <c r="A28" s="14">
        <v>10274</v>
      </c>
      <c r="B28" s="14" t="s">
        <v>3</v>
      </c>
    </row>
    <row r="29" spans="1:2" x14ac:dyDescent="0.25">
      <c r="A29" s="14">
        <v>10275</v>
      </c>
      <c r="B29" s="14" t="s">
        <v>79</v>
      </c>
    </row>
    <row r="30" spans="1:2" x14ac:dyDescent="0.25">
      <c r="A30" s="14">
        <v>10276</v>
      </c>
      <c r="B30" s="14" t="s">
        <v>80</v>
      </c>
    </row>
    <row r="31" spans="1:2" x14ac:dyDescent="0.25">
      <c r="A31" s="14">
        <v>10277</v>
      </c>
      <c r="B31" s="14" t="s">
        <v>81</v>
      </c>
    </row>
    <row r="32" spans="1:2" x14ac:dyDescent="0.25">
      <c r="A32" s="14">
        <v>10278</v>
      </c>
      <c r="B32" s="14" t="s">
        <v>80</v>
      </c>
    </row>
    <row r="33" spans="1:2" x14ac:dyDescent="0.25">
      <c r="A33" s="14">
        <v>10279</v>
      </c>
      <c r="B33" s="14" t="s">
        <v>80</v>
      </c>
    </row>
    <row r="34" spans="1:2" x14ac:dyDescent="0.25">
      <c r="A34" s="14">
        <v>10280</v>
      </c>
      <c r="B34" s="14" t="s">
        <v>81</v>
      </c>
    </row>
    <row r="35" spans="1:2" x14ac:dyDescent="0.25">
      <c r="A35" s="14">
        <v>10281</v>
      </c>
      <c r="B35" s="15" t="s">
        <v>4</v>
      </c>
    </row>
    <row r="36" spans="1:2" x14ac:dyDescent="0.25">
      <c r="A36" s="14">
        <v>10282</v>
      </c>
      <c r="B36" s="15" t="s">
        <v>4</v>
      </c>
    </row>
    <row r="37" spans="1:2" x14ac:dyDescent="0.25">
      <c r="A37" s="14">
        <v>10283</v>
      </c>
      <c r="B37" s="14" t="s">
        <v>5</v>
      </c>
    </row>
    <row r="38" spans="1:2" x14ac:dyDescent="0.25">
      <c r="A38" s="14">
        <v>10284</v>
      </c>
      <c r="B38" s="15" t="s">
        <v>4</v>
      </c>
    </row>
    <row r="39" spans="1:2" x14ac:dyDescent="0.25">
      <c r="A39" s="14">
        <v>10285</v>
      </c>
      <c r="B39" s="14" t="s">
        <v>79</v>
      </c>
    </row>
    <row r="40" spans="1:2" x14ac:dyDescent="0.25">
      <c r="A40" s="14">
        <v>10286</v>
      </c>
      <c r="B40" s="14" t="s">
        <v>80</v>
      </c>
    </row>
    <row r="41" spans="1:2" x14ac:dyDescent="0.25">
      <c r="A41" s="14">
        <v>10287</v>
      </c>
      <c r="B41" s="14" t="s">
        <v>80</v>
      </c>
    </row>
    <row r="42" spans="1:2" x14ac:dyDescent="0.25">
      <c r="A42" s="14">
        <v>10288</v>
      </c>
      <c r="B42" s="15" t="s">
        <v>4</v>
      </c>
    </row>
    <row r="43" spans="1:2" x14ac:dyDescent="0.25">
      <c r="A43" s="14">
        <v>10289</v>
      </c>
      <c r="B43" s="15" t="s">
        <v>82</v>
      </c>
    </row>
    <row r="44" spans="1:2" x14ac:dyDescent="0.25">
      <c r="A44" s="14">
        <v>10290</v>
      </c>
      <c r="B44" s="14" t="s">
        <v>80</v>
      </c>
    </row>
    <row r="45" spans="1:2" x14ac:dyDescent="0.25">
      <c r="A45" s="14">
        <v>10291</v>
      </c>
      <c r="B45" s="14" t="s">
        <v>3</v>
      </c>
    </row>
    <row r="46" spans="1:2" x14ac:dyDescent="0.25">
      <c r="A46" s="14">
        <v>10292</v>
      </c>
      <c r="B46" s="14" t="s">
        <v>79</v>
      </c>
    </row>
    <row r="47" spans="1:2" x14ac:dyDescent="0.25">
      <c r="A47" s="14">
        <v>10293</v>
      </c>
      <c r="B47" s="14" t="s">
        <v>79</v>
      </c>
    </row>
    <row r="48" spans="1:2" x14ac:dyDescent="0.25">
      <c r="A48" s="14">
        <v>10294</v>
      </c>
      <c r="B48" s="15" t="s">
        <v>4</v>
      </c>
    </row>
    <row r="49" spans="1:2" x14ac:dyDescent="0.25">
      <c r="A49" s="14">
        <v>10295</v>
      </c>
      <c r="B49" s="14" t="s">
        <v>81</v>
      </c>
    </row>
    <row r="50" spans="1:2" x14ac:dyDescent="0.25">
      <c r="A50" s="14">
        <v>10296</v>
      </c>
      <c r="B50" s="14" t="s">
        <v>3</v>
      </c>
    </row>
    <row r="51" spans="1:2" x14ac:dyDescent="0.25">
      <c r="A51" s="14">
        <v>10297</v>
      </c>
      <c r="B51" s="14" t="s">
        <v>2</v>
      </c>
    </row>
    <row r="52" spans="1:2" x14ac:dyDescent="0.25">
      <c r="A52" s="14">
        <v>10298</v>
      </c>
      <c r="B52" s="14" t="s">
        <v>3</v>
      </c>
    </row>
    <row r="53" spans="1:2" x14ac:dyDescent="0.25">
      <c r="A53" s="14">
        <v>10299</v>
      </c>
      <c r="B53" s="15" t="s">
        <v>4</v>
      </c>
    </row>
    <row r="54" spans="1:2" x14ac:dyDescent="0.25">
      <c r="A54" s="14">
        <v>10300</v>
      </c>
      <c r="B54" s="14" t="s">
        <v>81</v>
      </c>
    </row>
    <row r="55" spans="1:2" x14ac:dyDescent="0.25">
      <c r="A55" s="14">
        <v>10301</v>
      </c>
      <c r="B55" s="14" t="s">
        <v>80</v>
      </c>
    </row>
    <row r="56" spans="1:2" x14ac:dyDescent="0.25">
      <c r="A56" s="14">
        <v>10302</v>
      </c>
      <c r="B56" s="15" t="s">
        <v>4</v>
      </c>
    </row>
    <row r="57" spans="1:2" x14ac:dyDescent="0.25">
      <c r="A57" s="14">
        <v>10303</v>
      </c>
      <c r="B57" s="15" t="s">
        <v>82</v>
      </c>
    </row>
    <row r="58" spans="1:2" x14ac:dyDescent="0.25">
      <c r="A58" s="14">
        <v>10304</v>
      </c>
      <c r="B58" s="14" t="s">
        <v>79</v>
      </c>
    </row>
    <row r="59" spans="1:2" x14ac:dyDescent="0.25">
      <c r="A59" s="14">
        <v>10305</v>
      </c>
      <c r="B59" s="14" t="s">
        <v>80</v>
      </c>
    </row>
    <row r="60" spans="1:2" x14ac:dyDescent="0.25">
      <c r="A60" s="14">
        <v>10306</v>
      </c>
      <c r="B60" s="14" t="s">
        <v>79</v>
      </c>
    </row>
    <row r="61" spans="1:2" x14ac:dyDescent="0.25">
      <c r="A61" s="14">
        <v>10307</v>
      </c>
      <c r="B61" s="14" t="s">
        <v>81</v>
      </c>
    </row>
    <row r="62" spans="1:2" x14ac:dyDescent="0.25">
      <c r="A62" s="14">
        <v>10308</v>
      </c>
      <c r="B62" s="15" t="s">
        <v>82</v>
      </c>
    </row>
    <row r="63" spans="1:2" x14ac:dyDescent="0.25">
      <c r="A63" s="14">
        <v>10309</v>
      </c>
      <c r="B63" s="14" t="s">
        <v>5</v>
      </c>
    </row>
    <row r="64" spans="1:2" x14ac:dyDescent="0.25">
      <c r="A64" s="14">
        <v>10310</v>
      </c>
      <c r="B64" s="14" t="s">
        <v>80</v>
      </c>
    </row>
    <row r="65" spans="1:2" x14ac:dyDescent="0.25">
      <c r="A65" s="14">
        <v>10311</v>
      </c>
      <c r="B65" s="14" t="s">
        <v>79</v>
      </c>
    </row>
    <row r="66" spans="1:2" x14ac:dyDescent="0.25">
      <c r="A66" s="14">
        <v>10312</v>
      </c>
      <c r="B66" s="14" t="s">
        <v>81</v>
      </c>
    </row>
    <row r="67" spans="1:2" x14ac:dyDescent="0.25">
      <c r="A67" s="14">
        <v>10313</v>
      </c>
      <c r="B67" s="14" t="s">
        <v>81</v>
      </c>
    </row>
    <row r="68" spans="1:2" x14ac:dyDescent="0.25">
      <c r="A68" s="14">
        <v>10314</v>
      </c>
      <c r="B68" s="14" t="s">
        <v>79</v>
      </c>
    </row>
    <row r="69" spans="1:2" x14ac:dyDescent="0.25">
      <c r="A69" s="14">
        <v>10315</v>
      </c>
      <c r="B69" s="15" t="s">
        <v>4</v>
      </c>
    </row>
    <row r="70" spans="1:2" x14ac:dyDescent="0.25">
      <c r="A70" s="14">
        <v>10316</v>
      </c>
      <c r="B70" s="14" t="s">
        <v>79</v>
      </c>
    </row>
    <row r="71" spans="1:2" x14ac:dyDescent="0.25">
      <c r="A71" s="14">
        <v>10317</v>
      </c>
      <c r="B71" s="14" t="s">
        <v>3</v>
      </c>
    </row>
    <row r="72" spans="1:2" x14ac:dyDescent="0.25">
      <c r="A72" s="14">
        <v>10318</v>
      </c>
      <c r="B72" s="14" t="s">
        <v>80</v>
      </c>
    </row>
    <row r="73" spans="1:2" x14ac:dyDescent="0.25">
      <c r="A73" s="14">
        <v>10319</v>
      </c>
      <c r="B73" s="15" t="s">
        <v>82</v>
      </c>
    </row>
    <row r="74" spans="1:2" x14ac:dyDescent="0.25">
      <c r="A74" s="14">
        <v>10320</v>
      </c>
      <c r="B74" s="14" t="s">
        <v>2</v>
      </c>
    </row>
    <row r="75" spans="1:2" x14ac:dyDescent="0.25">
      <c r="A75" s="14">
        <v>10321</v>
      </c>
      <c r="B75" s="14" t="s">
        <v>5</v>
      </c>
    </row>
    <row r="76" spans="1:2" x14ac:dyDescent="0.25">
      <c r="A76" s="14">
        <v>10322</v>
      </c>
      <c r="B76" s="15" t="s">
        <v>82</v>
      </c>
    </row>
    <row r="77" spans="1:2" x14ac:dyDescent="0.25">
      <c r="A77" s="14">
        <v>10323</v>
      </c>
      <c r="B77" s="15" t="s">
        <v>4</v>
      </c>
    </row>
    <row r="78" spans="1:2" x14ac:dyDescent="0.25">
      <c r="A78" s="14">
        <v>10324</v>
      </c>
      <c r="B78" s="14" t="s">
        <v>6</v>
      </c>
    </row>
    <row r="79" spans="1:2" x14ac:dyDescent="0.25">
      <c r="A79" s="14">
        <v>10325</v>
      </c>
      <c r="B79" s="14" t="s">
        <v>79</v>
      </c>
    </row>
    <row r="80" spans="1:2" x14ac:dyDescent="0.25">
      <c r="A80" s="14">
        <v>10326</v>
      </c>
      <c r="B80" s="15" t="s">
        <v>4</v>
      </c>
    </row>
    <row r="81" spans="1:2" x14ac:dyDescent="0.25">
      <c r="A81" s="14">
        <v>10327</v>
      </c>
      <c r="B81" s="14" t="s">
        <v>81</v>
      </c>
    </row>
    <row r="82" spans="1:2" x14ac:dyDescent="0.25">
      <c r="A82" s="14">
        <v>10328</v>
      </c>
      <c r="B82" s="15" t="s">
        <v>4</v>
      </c>
    </row>
    <row r="83" spans="1:2" x14ac:dyDescent="0.25">
      <c r="A83" s="14">
        <v>10329</v>
      </c>
      <c r="B83" s="15" t="s">
        <v>4</v>
      </c>
    </row>
    <row r="84" spans="1:2" x14ac:dyDescent="0.25">
      <c r="A84" s="14">
        <v>10330</v>
      </c>
      <c r="B84" s="14" t="s">
        <v>5</v>
      </c>
    </row>
    <row r="85" spans="1:2" x14ac:dyDescent="0.25">
      <c r="A85" s="14">
        <v>10331</v>
      </c>
      <c r="B85" s="14" t="s">
        <v>6</v>
      </c>
    </row>
    <row r="86" spans="1:2" x14ac:dyDescent="0.25">
      <c r="A86" s="14">
        <v>10332</v>
      </c>
      <c r="B86" s="14" t="s">
        <v>5</v>
      </c>
    </row>
    <row r="87" spans="1:2" x14ac:dyDescent="0.25">
      <c r="A87" s="14">
        <v>10333</v>
      </c>
      <c r="B87" s="14" t="s">
        <v>2</v>
      </c>
    </row>
    <row r="88" spans="1:2" x14ac:dyDescent="0.25">
      <c r="A88" s="14">
        <v>10334</v>
      </c>
      <c r="B88" s="14" t="s">
        <v>80</v>
      </c>
    </row>
    <row r="89" spans="1:2" x14ac:dyDescent="0.25">
      <c r="A89" s="14">
        <v>10335</v>
      </c>
      <c r="B89" s="15" t="s">
        <v>82</v>
      </c>
    </row>
    <row r="90" spans="1:2" x14ac:dyDescent="0.25">
      <c r="A90" s="14">
        <v>10336</v>
      </c>
      <c r="B90" s="15" t="s">
        <v>82</v>
      </c>
    </row>
    <row r="91" spans="1:2" x14ac:dyDescent="0.25">
      <c r="A91" s="14">
        <v>10337</v>
      </c>
      <c r="B91" s="15" t="s">
        <v>4</v>
      </c>
    </row>
    <row r="92" spans="1:2" x14ac:dyDescent="0.25">
      <c r="A92" s="14">
        <v>10338</v>
      </c>
      <c r="B92" s="15" t="s">
        <v>4</v>
      </c>
    </row>
    <row r="93" spans="1:2" x14ac:dyDescent="0.25">
      <c r="A93" s="14">
        <v>10339</v>
      </c>
      <c r="B93" s="14" t="s">
        <v>81</v>
      </c>
    </row>
    <row r="94" spans="1:2" x14ac:dyDescent="0.25">
      <c r="A94" s="14">
        <v>10340</v>
      </c>
      <c r="B94" s="14" t="s">
        <v>79</v>
      </c>
    </row>
    <row r="95" spans="1:2" x14ac:dyDescent="0.25">
      <c r="A95" s="14">
        <v>10341</v>
      </c>
      <c r="B95" s="15" t="s">
        <v>82</v>
      </c>
    </row>
    <row r="96" spans="1:2" x14ac:dyDescent="0.25">
      <c r="A96" s="14">
        <v>10342</v>
      </c>
      <c r="B96" s="15" t="s">
        <v>4</v>
      </c>
    </row>
    <row r="97" spans="1:2" x14ac:dyDescent="0.25">
      <c r="A97" s="14">
        <v>10343</v>
      </c>
      <c r="B97" s="15" t="s">
        <v>4</v>
      </c>
    </row>
    <row r="98" spans="1:2" x14ac:dyDescent="0.25">
      <c r="A98" s="14">
        <v>10344</v>
      </c>
      <c r="B98" s="15" t="s">
        <v>4</v>
      </c>
    </row>
    <row r="99" spans="1:2" x14ac:dyDescent="0.25">
      <c r="A99" s="14">
        <v>10345</v>
      </c>
      <c r="B99" s="14" t="s">
        <v>81</v>
      </c>
    </row>
    <row r="100" spans="1:2" x14ac:dyDescent="0.25">
      <c r="A100" s="14">
        <v>10346</v>
      </c>
      <c r="B100" s="14" t="s">
        <v>5</v>
      </c>
    </row>
    <row r="101" spans="1:2" x14ac:dyDescent="0.25">
      <c r="A101" s="14">
        <v>10347</v>
      </c>
      <c r="B101" s="15" t="s">
        <v>4</v>
      </c>
    </row>
    <row r="102" spans="1:2" x14ac:dyDescent="0.25">
      <c r="A102" s="14">
        <v>10348</v>
      </c>
      <c r="B102" s="15" t="s">
        <v>4</v>
      </c>
    </row>
    <row r="103" spans="1:2" x14ac:dyDescent="0.25">
      <c r="A103" s="14">
        <v>10349</v>
      </c>
      <c r="B103" s="15" t="s">
        <v>82</v>
      </c>
    </row>
    <row r="104" spans="1:2" x14ac:dyDescent="0.25">
      <c r="A104" s="14">
        <v>10350</v>
      </c>
      <c r="B104" s="14" t="s">
        <v>3</v>
      </c>
    </row>
    <row r="105" spans="1:2" x14ac:dyDescent="0.25">
      <c r="A105" s="14">
        <v>10351</v>
      </c>
      <c r="B105" s="14" t="s">
        <v>79</v>
      </c>
    </row>
    <row r="106" spans="1:2" x14ac:dyDescent="0.25">
      <c r="A106" s="14">
        <v>10352</v>
      </c>
      <c r="B106" s="14" t="s">
        <v>5</v>
      </c>
    </row>
    <row r="107" spans="1:2" x14ac:dyDescent="0.25">
      <c r="A107" s="14">
        <v>10353</v>
      </c>
      <c r="B107" s="15" t="s">
        <v>82</v>
      </c>
    </row>
    <row r="108" spans="1:2" x14ac:dyDescent="0.25">
      <c r="A108" s="14">
        <v>10354</v>
      </c>
      <c r="B108" s="14" t="s">
        <v>80</v>
      </c>
    </row>
    <row r="109" spans="1:2" x14ac:dyDescent="0.25">
      <c r="A109" s="14">
        <v>10355</v>
      </c>
      <c r="B109" s="14" t="s">
        <v>3</v>
      </c>
    </row>
    <row r="110" spans="1:2" x14ac:dyDescent="0.25">
      <c r="A110" s="14">
        <v>10356</v>
      </c>
      <c r="B110" s="14" t="s">
        <v>3</v>
      </c>
    </row>
    <row r="111" spans="1:2" x14ac:dyDescent="0.25">
      <c r="A111" s="14">
        <v>10357</v>
      </c>
      <c r="B111" s="14" t="s">
        <v>79</v>
      </c>
    </row>
    <row r="112" spans="1:2" x14ac:dyDescent="0.25">
      <c r="A112" s="14">
        <v>10358</v>
      </c>
      <c r="B112" s="14" t="s">
        <v>2</v>
      </c>
    </row>
    <row r="113" spans="1:2" x14ac:dyDescent="0.25">
      <c r="A113" s="14">
        <v>10359</v>
      </c>
      <c r="B113" s="14" t="s">
        <v>2</v>
      </c>
    </row>
    <row r="114" spans="1:2" x14ac:dyDescent="0.25">
      <c r="A114" s="14">
        <v>10360</v>
      </c>
      <c r="B114" s="15" t="s">
        <v>4</v>
      </c>
    </row>
    <row r="115" spans="1:2" x14ac:dyDescent="0.25">
      <c r="A115" s="14">
        <v>10361</v>
      </c>
      <c r="B115" s="14" t="s">
        <v>79</v>
      </c>
    </row>
    <row r="116" spans="1:2" x14ac:dyDescent="0.25">
      <c r="A116" s="14">
        <v>10362</v>
      </c>
      <c r="B116" s="14" t="s">
        <v>5</v>
      </c>
    </row>
    <row r="117" spans="1:2" x14ac:dyDescent="0.25">
      <c r="A117" s="14">
        <v>10363</v>
      </c>
      <c r="B117" s="15" t="s">
        <v>4</v>
      </c>
    </row>
    <row r="118" spans="1:2" x14ac:dyDescent="0.25">
      <c r="A118" s="14">
        <v>10364</v>
      </c>
      <c r="B118" s="14" t="s">
        <v>79</v>
      </c>
    </row>
    <row r="119" spans="1:2" x14ac:dyDescent="0.25">
      <c r="A119" s="14">
        <v>10365</v>
      </c>
      <c r="B119" s="14" t="s">
        <v>5</v>
      </c>
    </row>
    <row r="120" spans="1:2" x14ac:dyDescent="0.25">
      <c r="A120" s="14">
        <v>10366</v>
      </c>
      <c r="B120" s="14" t="s">
        <v>80</v>
      </c>
    </row>
    <row r="121" spans="1:2" x14ac:dyDescent="0.25">
      <c r="A121" s="14">
        <v>10367</v>
      </c>
      <c r="B121" s="15" t="s">
        <v>82</v>
      </c>
    </row>
    <row r="122" spans="1:2" x14ac:dyDescent="0.25">
      <c r="A122" s="14">
        <v>10368</v>
      </c>
      <c r="B122" s="14" t="s">
        <v>81</v>
      </c>
    </row>
    <row r="123" spans="1:2" x14ac:dyDescent="0.25">
      <c r="A123" s="14">
        <v>10369</v>
      </c>
      <c r="B123" s="14" t="s">
        <v>80</v>
      </c>
    </row>
    <row r="124" spans="1:2" x14ac:dyDescent="0.25">
      <c r="A124" s="14">
        <v>10370</v>
      </c>
      <c r="B124" s="14" t="s">
        <v>3</v>
      </c>
    </row>
    <row r="125" spans="1:2" x14ac:dyDescent="0.25">
      <c r="A125" s="14">
        <v>10371</v>
      </c>
      <c r="B125" s="14" t="s">
        <v>79</v>
      </c>
    </row>
    <row r="126" spans="1:2" x14ac:dyDescent="0.25">
      <c r="A126" s="14">
        <v>10372</v>
      </c>
      <c r="B126" s="14" t="s">
        <v>2</v>
      </c>
    </row>
    <row r="127" spans="1:2" x14ac:dyDescent="0.25">
      <c r="A127" s="14">
        <v>10373</v>
      </c>
      <c r="B127" s="15" t="s">
        <v>4</v>
      </c>
    </row>
    <row r="128" spans="1:2" x14ac:dyDescent="0.25">
      <c r="A128" s="14">
        <v>10374</v>
      </c>
      <c r="B128" s="14" t="s">
        <v>79</v>
      </c>
    </row>
    <row r="129" spans="1:2" x14ac:dyDescent="0.25">
      <c r="A129" s="14">
        <v>10375</v>
      </c>
      <c r="B129" s="14" t="s">
        <v>5</v>
      </c>
    </row>
    <row r="130" spans="1:2" x14ac:dyDescent="0.25">
      <c r="A130" s="14">
        <v>10376</v>
      </c>
      <c r="B130" s="14" t="s">
        <v>79</v>
      </c>
    </row>
    <row r="131" spans="1:2" x14ac:dyDescent="0.25">
      <c r="A131" s="14">
        <v>10377</v>
      </c>
      <c r="B131" s="14" t="s">
        <v>79</v>
      </c>
    </row>
    <row r="132" spans="1:2" x14ac:dyDescent="0.25">
      <c r="A132" s="14">
        <v>10378</v>
      </c>
      <c r="B132" s="14" t="s">
        <v>2</v>
      </c>
    </row>
    <row r="133" spans="1:2" x14ac:dyDescent="0.25">
      <c r="A133" s="14">
        <v>10379</v>
      </c>
      <c r="B133" s="14" t="s">
        <v>81</v>
      </c>
    </row>
    <row r="134" spans="1:2" x14ac:dyDescent="0.25">
      <c r="A134" s="14">
        <v>10380</v>
      </c>
      <c r="B134" s="14" t="s">
        <v>80</v>
      </c>
    </row>
    <row r="135" spans="1:2" x14ac:dyDescent="0.25">
      <c r="A135" s="14">
        <v>10381</v>
      </c>
      <c r="B135" s="14" t="s">
        <v>5</v>
      </c>
    </row>
    <row r="136" spans="1:2" x14ac:dyDescent="0.25">
      <c r="A136" s="14">
        <v>10382</v>
      </c>
      <c r="B136" s="15" t="s">
        <v>4</v>
      </c>
    </row>
    <row r="137" spans="1:2" x14ac:dyDescent="0.25">
      <c r="A137" s="14">
        <v>10383</v>
      </c>
      <c r="B137" s="14" t="s">
        <v>80</v>
      </c>
    </row>
    <row r="138" spans="1:2" x14ac:dyDescent="0.25">
      <c r="A138" s="14">
        <v>10384</v>
      </c>
      <c r="B138" s="14" t="s">
        <v>5</v>
      </c>
    </row>
    <row r="139" spans="1:2" x14ac:dyDescent="0.25">
      <c r="A139" s="14">
        <v>10385</v>
      </c>
      <c r="B139" s="14" t="s">
        <v>79</v>
      </c>
    </row>
    <row r="140" spans="1:2" x14ac:dyDescent="0.25">
      <c r="A140" s="14">
        <v>10386</v>
      </c>
      <c r="B140" s="14" t="s">
        <v>6</v>
      </c>
    </row>
    <row r="141" spans="1:2" x14ac:dyDescent="0.25">
      <c r="A141" s="14">
        <v>10387</v>
      </c>
      <c r="B141" s="14" t="s">
        <v>79</v>
      </c>
    </row>
    <row r="142" spans="1:2" x14ac:dyDescent="0.25">
      <c r="A142" s="14">
        <v>10388</v>
      </c>
      <c r="B142" s="14" t="s">
        <v>81</v>
      </c>
    </row>
    <row r="143" spans="1:2" x14ac:dyDescent="0.25">
      <c r="A143" s="14">
        <v>10389</v>
      </c>
      <c r="B143" s="15" t="s">
        <v>4</v>
      </c>
    </row>
    <row r="144" spans="1:2" x14ac:dyDescent="0.25">
      <c r="A144" s="14">
        <v>10390</v>
      </c>
      <c r="B144" s="14" t="s">
        <v>3</v>
      </c>
    </row>
    <row r="145" spans="1:2" x14ac:dyDescent="0.25">
      <c r="A145" s="14">
        <v>10391</v>
      </c>
      <c r="B145" s="14" t="s">
        <v>5</v>
      </c>
    </row>
    <row r="146" spans="1:2" x14ac:dyDescent="0.25">
      <c r="A146" s="14">
        <v>10392</v>
      </c>
      <c r="B146" s="14" t="s">
        <v>81</v>
      </c>
    </row>
    <row r="147" spans="1:2" x14ac:dyDescent="0.25">
      <c r="A147" s="14">
        <v>10393</v>
      </c>
      <c r="B147" s="14" t="s">
        <v>79</v>
      </c>
    </row>
    <row r="148" spans="1:2" x14ac:dyDescent="0.25">
      <c r="A148" s="14">
        <v>10394</v>
      </c>
      <c r="B148" s="14" t="s">
        <v>79</v>
      </c>
    </row>
    <row r="149" spans="1:2" x14ac:dyDescent="0.25">
      <c r="A149" s="14">
        <v>10395</v>
      </c>
      <c r="B149" s="14" t="s">
        <v>3</v>
      </c>
    </row>
    <row r="150" spans="1:2" x14ac:dyDescent="0.25">
      <c r="A150" s="14">
        <v>10396</v>
      </c>
      <c r="B150" s="14" t="s">
        <v>79</v>
      </c>
    </row>
    <row r="151" spans="1:2" x14ac:dyDescent="0.25">
      <c r="A151" s="14">
        <v>10397</v>
      </c>
      <c r="B151" s="14" t="s">
        <v>2</v>
      </c>
    </row>
    <row r="152" spans="1:2" x14ac:dyDescent="0.25">
      <c r="A152" s="14">
        <v>10398</v>
      </c>
      <c r="B152" s="14" t="s">
        <v>81</v>
      </c>
    </row>
    <row r="153" spans="1:2" x14ac:dyDescent="0.25">
      <c r="A153" s="14">
        <v>10399</v>
      </c>
      <c r="B153" s="14" t="s">
        <v>80</v>
      </c>
    </row>
    <row r="154" spans="1:2" x14ac:dyDescent="0.25">
      <c r="A154" s="14">
        <v>10400</v>
      </c>
      <c r="B154" s="14" t="s">
        <v>79</v>
      </c>
    </row>
    <row r="155" spans="1:2" x14ac:dyDescent="0.25">
      <c r="A155" s="14">
        <v>10401</v>
      </c>
      <c r="B155" s="14" t="s">
        <v>79</v>
      </c>
    </row>
    <row r="156" spans="1:2" x14ac:dyDescent="0.25">
      <c r="A156" s="14">
        <v>10402</v>
      </c>
      <c r="B156" s="14" t="s">
        <v>80</v>
      </c>
    </row>
    <row r="157" spans="1:2" x14ac:dyDescent="0.25">
      <c r="A157" s="14">
        <v>10403</v>
      </c>
      <c r="B157" s="15" t="s">
        <v>4</v>
      </c>
    </row>
    <row r="158" spans="1:2" x14ac:dyDescent="0.25">
      <c r="A158" s="14">
        <v>10404</v>
      </c>
      <c r="B158" s="14" t="s">
        <v>81</v>
      </c>
    </row>
    <row r="159" spans="1:2" x14ac:dyDescent="0.25">
      <c r="A159" s="14">
        <v>10405</v>
      </c>
      <c r="B159" s="14" t="s">
        <v>79</v>
      </c>
    </row>
    <row r="160" spans="1:2" x14ac:dyDescent="0.25">
      <c r="A160" s="14">
        <v>10406</v>
      </c>
      <c r="B160" s="15" t="s">
        <v>82</v>
      </c>
    </row>
    <row r="161" spans="1:2" x14ac:dyDescent="0.25">
      <c r="A161" s="14">
        <v>10407</v>
      </c>
      <c r="B161" s="14" t="s">
        <v>81</v>
      </c>
    </row>
    <row r="162" spans="1:2" x14ac:dyDescent="0.25">
      <c r="A162" s="14">
        <v>10408</v>
      </c>
      <c r="B162" s="14" t="s">
        <v>80</v>
      </c>
    </row>
    <row r="163" spans="1:2" x14ac:dyDescent="0.25">
      <c r="A163" s="14">
        <v>10409</v>
      </c>
      <c r="B163" s="14" t="s">
        <v>5</v>
      </c>
    </row>
    <row r="164" spans="1:2" x14ac:dyDescent="0.25">
      <c r="A164" s="14">
        <v>10410</v>
      </c>
      <c r="B164" s="14" t="s">
        <v>5</v>
      </c>
    </row>
    <row r="165" spans="1:2" x14ac:dyDescent="0.25">
      <c r="A165" s="14">
        <v>10411</v>
      </c>
      <c r="B165" s="14" t="s">
        <v>6</v>
      </c>
    </row>
    <row r="166" spans="1:2" x14ac:dyDescent="0.25">
      <c r="A166" s="14">
        <v>10412</v>
      </c>
      <c r="B166" s="14" t="s">
        <v>80</v>
      </c>
    </row>
    <row r="167" spans="1:2" x14ac:dyDescent="0.25">
      <c r="A167" s="14">
        <v>10413</v>
      </c>
      <c r="B167" s="14" t="s">
        <v>5</v>
      </c>
    </row>
    <row r="168" spans="1:2" x14ac:dyDescent="0.25">
      <c r="A168" s="14">
        <v>10414</v>
      </c>
      <c r="B168" s="14" t="s">
        <v>81</v>
      </c>
    </row>
    <row r="169" spans="1:2" x14ac:dyDescent="0.25">
      <c r="A169" s="14">
        <v>10415</v>
      </c>
      <c r="B169" s="14" t="s">
        <v>5</v>
      </c>
    </row>
    <row r="170" spans="1:2" x14ac:dyDescent="0.25">
      <c r="A170" s="14">
        <v>10416</v>
      </c>
      <c r="B170" s="14" t="s">
        <v>80</v>
      </c>
    </row>
    <row r="171" spans="1:2" x14ac:dyDescent="0.25">
      <c r="A171" s="14">
        <v>10417</v>
      </c>
      <c r="B171" s="15" t="s">
        <v>4</v>
      </c>
    </row>
    <row r="172" spans="1:2" x14ac:dyDescent="0.25">
      <c r="A172" s="14">
        <v>10418</v>
      </c>
      <c r="B172" s="15" t="s">
        <v>4</v>
      </c>
    </row>
    <row r="173" spans="1:2" x14ac:dyDescent="0.25">
      <c r="A173" s="14">
        <v>10419</v>
      </c>
      <c r="B173" s="15" t="s">
        <v>4</v>
      </c>
    </row>
    <row r="174" spans="1:2" x14ac:dyDescent="0.25">
      <c r="A174" s="14">
        <v>10420</v>
      </c>
      <c r="B174" s="14" t="s">
        <v>5</v>
      </c>
    </row>
    <row r="175" spans="1:2" x14ac:dyDescent="0.25">
      <c r="A175" s="14">
        <v>10421</v>
      </c>
      <c r="B175" s="14" t="s">
        <v>80</v>
      </c>
    </row>
    <row r="176" spans="1:2" x14ac:dyDescent="0.25">
      <c r="A176" s="14">
        <v>10422</v>
      </c>
      <c r="B176" s="14" t="s">
        <v>81</v>
      </c>
    </row>
    <row r="177" spans="1:2" x14ac:dyDescent="0.25">
      <c r="A177" s="14">
        <v>10423</v>
      </c>
      <c r="B177" s="14" t="s">
        <v>3</v>
      </c>
    </row>
    <row r="178" spans="1:2" x14ac:dyDescent="0.25">
      <c r="A178" s="14">
        <v>10424</v>
      </c>
      <c r="B178" s="15" t="s">
        <v>82</v>
      </c>
    </row>
    <row r="179" spans="1:2" x14ac:dyDescent="0.25">
      <c r="A179" s="14">
        <v>10425</v>
      </c>
      <c r="B179" s="14" t="s">
        <v>3</v>
      </c>
    </row>
    <row r="180" spans="1:2" x14ac:dyDescent="0.25">
      <c r="A180" s="14">
        <v>10426</v>
      </c>
      <c r="B180" s="15" t="s">
        <v>4</v>
      </c>
    </row>
    <row r="181" spans="1:2" x14ac:dyDescent="0.25">
      <c r="A181" s="14">
        <v>10427</v>
      </c>
      <c r="B181" s="15" t="s">
        <v>4</v>
      </c>
    </row>
    <row r="182" spans="1:2" x14ac:dyDescent="0.25">
      <c r="A182" s="14">
        <v>10428</v>
      </c>
      <c r="B182" s="15" t="s">
        <v>82</v>
      </c>
    </row>
    <row r="183" spans="1:2" x14ac:dyDescent="0.25">
      <c r="A183" s="14">
        <v>10429</v>
      </c>
      <c r="B183" s="14" t="s">
        <v>5</v>
      </c>
    </row>
    <row r="184" spans="1:2" x14ac:dyDescent="0.25">
      <c r="A184" s="14">
        <v>10430</v>
      </c>
      <c r="B184" s="15" t="s">
        <v>4</v>
      </c>
    </row>
    <row r="185" spans="1:2" x14ac:dyDescent="0.25">
      <c r="A185" s="14">
        <v>10431</v>
      </c>
      <c r="B185" s="15" t="s">
        <v>4</v>
      </c>
    </row>
    <row r="186" spans="1:2" x14ac:dyDescent="0.25">
      <c r="A186" s="14">
        <v>10432</v>
      </c>
      <c r="B186" s="14" t="s">
        <v>5</v>
      </c>
    </row>
    <row r="187" spans="1:2" x14ac:dyDescent="0.25">
      <c r="A187" s="14">
        <v>10433</v>
      </c>
      <c r="B187" s="14" t="s">
        <v>5</v>
      </c>
    </row>
    <row r="188" spans="1:2" x14ac:dyDescent="0.25">
      <c r="A188" s="14">
        <v>10434</v>
      </c>
      <c r="B188" s="14" t="s">
        <v>5</v>
      </c>
    </row>
    <row r="189" spans="1:2" x14ac:dyDescent="0.25">
      <c r="A189" s="14">
        <v>10435</v>
      </c>
      <c r="B189" s="14" t="s">
        <v>80</v>
      </c>
    </row>
    <row r="190" spans="1:2" x14ac:dyDescent="0.25">
      <c r="A190" s="14">
        <v>10436</v>
      </c>
      <c r="B190" s="14" t="s">
        <v>5</v>
      </c>
    </row>
    <row r="191" spans="1:2" x14ac:dyDescent="0.25">
      <c r="A191" s="14">
        <v>10437</v>
      </c>
      <c r="B191" s="14" t="s">
        <v>80</v>
      </c>
    </row>
    <row r="192" spans="1:2" x14ac:dyDescent="0.25">
      <c r="A192" s="14">
        <v>10438</v>
      </c>
      <c r="B192" s="14" t="s">
        <v>5</v>
      </c>
    </row>
    <row r="193" spans="1:2" x14ac:dyDescent="0.25">
      <c r="A193" s="14">
        <v>10439</v>
      </c>
      <c r="B193" s="14" t="s">
        <v>3</v>
      </c>
    </row>
    <row r="194" spans="1:2" x14ac:dyDescent="0.25">
      <c r="A194" s="14">
        <v>10440</v>
      </c>
      <c r="B194" s="15" t="s">
        <v>4</v>
      </c>
    </row>
    <row r="195" spans="1:2" x14ac:dyDescent="0.25">
      <c r="A195" s="14">
        <v>10441</v>
      </c>
      <c r="B195" s="14" t="s">
        <v>5</v>
      </c>
    </row>
    <row r="196" spans="1:2" x14ac:dyDescent="0.25">
      <c r="A196" s="14">
        <v>10442</v>
      </c>
      <c r="B196" s="14" t="s">
        <v>5</v>
      </c>
    </row>
    <row r="197" spans="1:2" x14ac:dyDescent="0.25">
      <c r="A197" s="14">
        <v>10443</v>
      </c>
      <c r="B197" s="14" t="s">
        <v>80</v>
      </c>
    </row>
    <row r="198" spans="1:2" x14ac:dyDescent="0.25">
      <c r="A198" s="14">
        <v>10444</v>
      </c>
      <c r="B198" s="14" t="s">
        <v>5</v>
      </c>
    </row>
    <row r="199" spans="1:2" x14ac:dyDescent="0.25">
      <c r="A199" s="14">
        <v>10445</v>
      </c>
      <c r="B199" s="14" t="s">
        <v>5</v>
      </c>
    </row>
    <row r="200" spans="1:2" x14ac:dyDescent="0.25">
      <c r="A200" s="14">
        <v>10446</v>
      </c>
      <c r="B200" s="14" t="s">
        <v>3</v>
      </c>
    </row>
    <row r="201" spans="1:2" x14ac:dyDescent="0.25">
      <c r="A201" s="14">
        <v>10447</v>
      </c>
      <c r="B201" s="15" t="s">
        <v>4</v>
      </c>
    </row>
    <row r="202" spans="1:2" x14ac:dyDescent="0.25">
      <c r="A202" s="14">
        <v>10448</v>
      </c>
      <c r="B202" s="15" t="s">
        <v>4</v>
      </c>
    </row>
    <row r="203" spans="1:2" x14ac:dyDescent="0.25">
      <c r="A203" s="14">
        <v>10449</v>
      </c>
      <c r="B203" s="14" t="s">
        <v>5</v>
      </c>
    </row>
    <row r="204" spans="1:2" x14ac:dyDescent="0.25">
      <c r="A204" s="14">
        <v>10450</v>
      </c>
      <c r="B204" s="14" t="s">
        <v>80</v>
      </c>
    </row>
    <row r="205" spans="1:2" x14ac:dyDescent="0.25">
      <c r="A205" s="14">
        <v>10451</v>
      </c>
      <c r="B205" s="15" t="s">
        <v>4</v>
      </c>
    </row>
    <row r="206" spans="1:2" x14ac:dyDescent="0.25">
      <c r="A206" s="14">
        <v>10452</v>
      </c>
      <c r="B206" s="14" t="s">
        <v>80</v>
      </c>
    </row>
    <row r="207" spans="1:2" x14ac:dyDescent="0.25">
      <c r="A207" s="14">
        <v>10453</v>
      </c>
      <c r="B207" s="14" t="s">
        <v>79</v>
      </c>
    </row>
    <row r="208" spans="1:2" x14ac:dyDescent="0.25">
      <c r="A208" s="14">
        <v>10454</v>
      </c>
      <c r="B208" s="15" t="s">
        <v>4</v>
      </c>
    </row>
    <row r="209" spans="1:2" x14ac:dyDescent="0.25">
      <c r="A209" s="14">
        <v>10455</v>
      </c>
      <c r="B209" s="14" t="s">
        <v>80</v>
      </c>
    </row>
    <row r="210" spans="1:2" x14ac:dyDescent="0.25">
      <c r="A210" s="14">
        <v>10456</v>
      </c>
      <c r="B210" s="14" t="s">
        <v>80</v>
      </c>
    </row>
    <row r="211" spans="1:2" x14ac:dyDescent="0.25">
      <c r="A211" s="14">
        <v>10457</v>
      </c>
      <c r="B211" s="14" t="s">
        <v>81</v>
      </c>
    </row>
    <row r="212" spans="1:2" x14ac:dyDescent="0.25">
      <c r="A212" s="14">
        <v>10458</v>
      </c>
      <c r="B212" s="15" t="s">
        <v>82</v>
      </c>
    </row>
    <row r="213" spans="1:2" x14ac:dyDescent="0.25">
      <c r="A213" s="14">
        <v>10459</v>
      </c>
      <c r="B213" s="15" t="s">
        <v>4</v>
      </c>
    </row>
    <row r="214" spans="1:2" x14ac:dyDescent="0.25">
      <c r="A214" s="14">
        <v>10460</v>
      </c>
      <c r="B214" s="14" t="s">
        <v>80</v>
      </c>
    </row>
    <row r="215" spans="1:2" x14ac:dyDescent="0.25">
      <c r="A215" s="14">
        <v>10461</v>
      </c>
      <c r="B215" s="14" t="s">
        <v>79</v>
      </c>
    </row>
    <row r="216" spans="1:2" x14ac:dyDescent="0.25">
      <c r="A216" s="14">
        <v>10462</v>
      </c>
      <c r="B216" s="14" t="s">
        <v>81</v>
      </c>
    </row>
    <row r="217" spans="1:2" x14ac:dyDescent="0.25">
      <c r="A217" s="14">
        <v>10463</v>
      </c>
      <c r="B217" s="14" t="s">
        <v>2</v>
      </c>
    </row>
    <row r="218" spans="1:2" x14ac:dyDescent="0.25">
      <c r="A218" s="14">
        <v>10464</v>
      </c>
      <c r="B218" s="15" t="s">
        <v>4</v>
      </c>
    </row>
    <row r="219" spans="1:2" x14ac:dyDescent="0.25">
      <c r="A219" s="14">
        <v>10465</v>
      </c>
      <c r="B219" s="14" t="s">
        <v>79</v>
      </c>
    </row>
    <row r="220" spans="1:2" x14ac:dyDescent="0.25">
      <c r="A220" s="14">
        <v>10466</v>
      </c>
      <c r="B220" s="15" t="s">
        <v>4</v>
      </c>
    </row>
    <row r="221" spans="1:2" x14ac:dyDescent="0.25">
      <c r="A221" s="14">
        <v>10467</v>
      </c>
      <c r="B221" s="14" t="s">
        <v>80</v>
      </c>
    </row>
    <row r="222" spans="1:2" x14ac:dyDescent="0.25">
      <c r="A222" s="14">
        <v>10468</v>
      </c>
      <c r="B222" s="14" t="s">
        <v>5</v>
      </c>
    </row>
    <row r="223" spans="1:2" x14ac:dyDescent="0.25">
      <c r="A223" s="14">
        <v>10469</v>
      </c>
      <c r="B223" s="14" t="s">
        <v>79</v>
      </c>
    </row>
    <row r="224" spans="1:2" x14ac:dyDescent="0.25">
      <c r="A224" s="14">
        <v>10470</v>
      </c>
      <c r="B224" s="15" t="s">
        <v>4</v>
      </c>
    </row>
    <row r="225" spans="1:2" x14ac:dyDescent="0.25">
      <c r="A225" s="14">
        <v>10471</v>
      </c>
      <c r="B225" s="14" t="s">
        <v>81</v>
      </c>
    </row>
    <row r="226" spans="1:2" x14ac:dyDescent="0.25">
      <c r="A226" s="14">
        <v>10472</v>
      </c>
      <c r="B226" s="14" t="s">
        <v>80</v>
      </c>
    </row>
    <row r="227" spans="1:2" x14ac:dyDescent="0.25">
      <c r="A227" s="14">
        <v>10473</v>
      </c>
      <c r="B227" s="14" t="s">
        <v>79</v>
      </c>
    </row>
    <row r="228" spans="1:2" x14ac:dyDescent="0.25">
      <c r="A228" s="14">
        <v>10474</v>
      </c>
      <c r="B228" s="14" t="s">
        <v>2</v>
      </c>
    </row>
    <row r="229" spans="1:2" x14ac:dyDescent="0.25">
      <c r="A229" s="14">
        <v>10475</v>
      </c>
      <c r="B229" s="14" t="s">
        <v>6</v>
      </c>
    </row>
    <row r="230" spans="1:2" x14ac:dyDescent="0.25">
      <c r="A230" s="14">
        <v>10476</v>
      </c>
      <c r="B230" s="14" t="s">
        <v>80</v>
      </c>
    </row>
    <row r="231" spans="1:2" x14ac:dyDescent="0.25">
      <c r="A231" s="14">
        <v>10477</v>
      </c>
      <c r="B231" s="14" t="s">
        <v>2</v>
      </c>
    </row>
    <row r="232" spans="1:2" x14ac:dyDescent="0.25">
      <c r="A232" s="14">
        <v>10478</v>
      </c>
      <c r="B232" s="14" t="s">
        <v>81</v>
      </c>
    </row>
    <row r="233" spans="1:2" x14ac:dyDescent="0.25">
      <c r="A233" s="14">
        <v>10479</v>
      </c>
      <c r="B233" s="14" t="s">
        <v>5</v>
      </c>
    </row>
    <row r="234" spans="1:2" x14ac:dyDescent="0.25">
      <c r="A234" s="14">
        <v>10480</v>
      </c>
      <c r="B234" s="14" t="s">
        <v>3</v>
      </c>
    </row>
    <row r="235" spans="1:2" x14ac:dyDescent="0.25">
      <c r="A235" s="14">
        <v>10481</v>
      </c>
      <c r="B235" s="14" t="s">
        <v>80</v>
      </c>
    </row>
    <row r="236" spans="1:2" x14ac:dyDescent="0.25">
      <c r="A236" s="14">
        <v>10482</v>
      </c>
      <c r="B236" s="14" t="s">
        <v>79</v>
      </c>
    </row>
    <row r="237" spans="1:2" x14ac:dyDescent="0.25">
      <c r="A237" s="14">
        <v>10483</v>
      </c>
      <c r="B237" s="15" t="s">
        <v>82</v>
      </c>
    </row>
    <row r="238" spans="1:2" x14ac:dyDescent="0.25">
      <c r="A238" s="14">
        <v>10484</v>
      </c>
      <c r="B238" s="14" t="s">
        <v>5</v>
      </c>
    </row>
    <row r="239" spans="1:2" x14ac:dyDescent="0.25">
      <c r="A239" s="14">
        <v>10485</v>
      </c>
      <c r="B239" s="15" t="s">
        <v>4</v>
      </c>
    </row>
    <row r="240" spans="1:2" x14ac:dyDescent="0.25">
      <c r="A240" s="14">
        <v>10486</v>
      </c>
      <c r="B240" s="14" t="s">
        <v>79</v>
      </c>
    </row>
    <row r="241" spans="1:2" x14ac:dyDescent="0.25">
      <c r="A241" s="14">
        <v>10487</v>
      </c>
      <c r="B241" s="14" t="s">
        <v>81</v>
      </c>
    </row>
    <row r="242" spans="1:2" x14ac:dyDescent="0.25">
      <c r="A242" s="14">
        <v>10488</v>
      </c>
      <c r="B242" s="14" t="s">
        <v>80</v>
      </c>
    </row>
    <row r="243" spans="1:2" x14ac:dyDescent="0.25">
      <c r="A243" s="14">
        <v>10489</v>
      </c>
      <c r="B243" s="14" t="s">
        <v>3</v>
      </c>
    </row>
    <row r="244" spans="1:2" x14ac:dyDescent="0.25">
      <c r="A244" s="14">
        <v>10490</v>
      </c>
      <c r="B244" s="15" t="s">
        <v>82</v>
      </c>
    </row>
    <row r="245" spans="1:2" x14ac:dyDescent="0.25">
      <c r="A245" s="14">
        <v>10491</v>
      </c>
      <c r="B245" s="14" t="s">
        <v>80</v>
      </c>
    </row>
    <row r="246" spans="1:2" x14ac:dyDescent="0.25">
      <c r="A246" s="14">
        <v>10492</v>
      </c>
      <c r="B246" s="14" t="s">
        <v>5</v>
      </c>
    </row>
    <row r="247" spans="1:2" x14ac:dyDescent="0.25">
      <c r="A247" s="14">
        <v>10493</v>
      </c>
      <c r="B247" s="15" t="s">
        <v>4</v>
      </c>
    </row>
    <row r="248" spans="1:2" x14ac:dyDescent="0.25">
      <c r="A248" s="14">
        <v>10494</v>
      </c>
      <c r="B248" s="15" t="s">
        <v>4</v>
      </c>
    </row>
    <row r="249" spans="1:2" x14ac:dyDescent="0.25">
      <c r="A249" s="14">
        <v>10495</v>
      </c>
      <c r="B249" s="14" t="s">
        <v>5</v>
      </c>
    </row>
    <row r="250" spans="1:2" x14ac:dyDescent="0.25">
      <c r="A250" s="14">
        <v>10496</v>
      </c>
      <c r="B250" s="15" t="s">
        <v>82</v>
      </c>
    </row>
    <row r="251" spans="1:2" x14ac:dyDescent="0.25">
      <c r="A251" s="14">
        <v>10497</v>
      </c>
      <c r="B251" s="15" t="s">
        <v>82</v>
      </c>
    </row>
    <row r="252" spans="1:2" x14ac:dyDescent="0.25">
      <c r="A252" s="14">
        <v>10498</v>
      </c>
      <c r="B252" s="14" t="s">
        <v>80</v>
      </c>
    </row>
    <row r="253" spans="1:2" x14ac:dyDescent="0.25">
      <c r="A253" s="14">
        <v>10499</v>
      </c>
      <c r="B253" s="15" t="s">
        <v>4</v>
      </c>
    </row>
    <row r="254" spans="1:2" x14ac:dyDescent="0.25">
      <c r="A254" s="14">
        <v>10500</v>
      </c>
      <c r="B254" s="14" t="s">
        <v>3</v>
      </c>
    </row>
    <row r="255" spans="1:2" x14ac:dyDescent="0.25">
      <c r="A255" s="14">
        <v>10501</v>
      </c>
      <c r="B255" s="14" t="s">
        <v>6</v>
      </c>
    </row>
    <row r="256" spans="1:2" x14ac:dyDescent="0.25">
      <c r="A256" s="14">
        <v>10502</v>
      </c>
      <c r="B256" s="14" t="s">
        <v>81</v>
      </c>
    </row>
    <row r="257" spans="1:2" x14ac:dyDescent="0.25">
      <c r="A257" s="14">
        <v>10503</v>
      </c>
      <c r="B257" s="14" t="s">
        <v>3</v>
      </c>
    </row>
    <row r="258" spans="1:2" x14ac:dyDescent="0.25">
      <c r="A258" s="14">
        <v>10504</v>
      </c>
      <c r="B258" s="15" t="s">
        <v>4</v>
      </c>
    </row>
    <row r="259" spans="1:2" x14ac:dyDescent="0.25">
      <c r="A259" s="14">
        <v>10505</v>
      </c>
      <c r="B259" s="14" t="s">
        <v>5</v>
      </c>
    </row>
    <row r="260" spans="1:2" x14ac:dyDescent="0.25">
      <c r="A260" s="14">
        <v>10506</v>
      </c>
      <c r="B260" s="14" t="s">
        <v>6</v>
      </c>
    </row>
    <row r="261" spans="1:2" x14ac:dyDescent="0.25">
      <c r="A261" s="14">
        <v>10507</v>
      </c>
      <c r="B261" s="15" t="s">
        <v>82</v>
      </c>
    </row>
    <row r="262" spans="1:2" x14ac:dyDescent="0.25">
      <c r="A262" s="14">
        <v>10508</v>
      </c>
      <c r="B262" s="14" t="s">
        <v>79</v>
      </c>
    </row>
    <row r="263" spans="1:2" x14ac:dyDescent="0.25">
      <c r="A263" s="14">
        <v>10509</v>
      </c>
      <c r="B263" s="15" t="s">
        <v>4</v>
      </c>
    </row>
    <row r="264" spans="1:2" x14ac:dyDescent="0.25">
      <c r="A264" s="14">
        <v>10510</v>
      </c>
      <c r="B264" s="14" t="s">
        <v>3</v>
      </c>
    </row>
    <row r="265" spans="1:2" x14ac:dyDescent="0.25">
      <c r="A265" s="14">
        <v>10511</v>
      </c>
      <c r="B265" s="15" t="s">
        <v>4</v>
      </c>
    </row>
    <row r="266" spans="1:2" x14ac:dyDescent="0.25">
      <c r="A266" s="14">
        <v>10512</v>
      </c>
      <c r="B266" s="15" t="s">
        <v>82</v>
      </c>
    </row>
    <row r="267" spans="1:2" x14ac:dyDescent="0.25">
      <c r="A267" s="14">
        <v>10513</v>
      </c>
      <c r="B267" s="15" t="s">
        <v>82</v>
      </c>
    </row>
    <row r="268" spans="1:2" x14ac:dyDescent="0.25">
      <c r="A268" s="14">
        <v>10514</v>
      </c>
      <c r="B268" s="14" t="s">
        <v>5</v>
      </c>
    </row>
    <row r="269" spans="1:2" x14ac:dyDescent="0.25">
      <c r="A269" s="14">
        <v>10515</v>
      </c>
      <c r="B269" s="14" t="s">
        <v>81</v>
      </c>
    </row>
    <row r="270" spans="1:2" x14ac:dyDescent="0.25">
      <c r="A270" s="14">
        <v>10516</v>
      </c>
      <c r="B270" s="14" t="s">
        <v>81</v>
      </c>
    </row>
    <row r="271" spans="1:2" x14ac:dyDescent="0.25">
      <c r="A271" s="14">
        <v>10517</v>
      </c>
      <c r="B271" s="14" t="s">
        <v>5</v>
      </c>
    </row>
    <row r="272" spans="1:2" x14ac:dyDescent="0.25">
      <c r="A272" s="14">
        <v>10518</v>
      </c>
      <c r="B272" s="15" t="s">
        <v>4</v>
      </c>
    </row>
    <row r="273" spans="1:2" x14ac:dyDescent="0.25">
      <c r="A273" s="14">
        <v>10519</v>
      </c>
      <c r="B273" s="14" t="s">
        <v>3</v>
      </c>
    </row>
    <row r="274" spans="1:2" x14ac:dyDescent="0.25">
      <c r="A274" s="14">
        <v>10520</v>
      </c>
      <c r="B274" s="15" t="s">
        <v>82</v>
      </c>
    </row>
    <row r="275" spans="1:2" x14ac:dyDescent="0.25">
      <c r="A275" s="14">
        <v>10521</v>
      </c>
      <c r="B275" s="14" t="s">
        <v>80</v>
      </c>
    </row>
    <row r="276" spans="1:2" x14ac:dyDescent="0.25">
      <c r="A276" s="14">
        <v>10522</v>
      </c>
      <c r="B276" s="15" t="s">
        <v>4</v>
      </c>
    </row>
    <row r="277" spans="1:2" x14ac:dyDescent="0.25">
      <c r="A277" s="14">
        <v>10523</v>
      </c>
      <c r="B277" s="15" t="s">
        <v>82</v>
      </c>
    </row>
    <row r="278" spans="1:2" x14ac:dyDescent="0.25">
      <c r="A278" s="14">
        <v>10524</v>
      </c>
      <c r="B278" s="14" t="s">
        <v>79</v>
      </c>
    </row>
    <row r="279" spans="1:2" x14ac:dyDescent="0.25">
      <c r="A279" s="14">
        <v>10525</v>
      </c>
      <c r="B279" s="14" t="s">
        <v>79</v>
      </c>
    </row>
    <row r="280" spans="1:2" x14ac:dyDescent="0.25">
      <c r="A280" s="14">
        <v>10526</v>
      </c>
      <c r="B280" s="15" t="s">
        <v>4</v>
      </c>
    </row>
    <row r="281" spans="1:2" x14ac:dyDescent="0.25">
      <c r="A281" s="14">
        <v>10527</v>
      </c>
      <c r="B281" s="15" t="s">
        <v>82</v>
      </c>
    </row>
    <row r="282" spans="1:2" x14ac:dyDescent="0.25">
      <c r="A282" s="14">
        <v>10528</v>
      </c>
      <c r="B282" s="14" t="s">
        <v>3</v>
      </c>
    </row>
    <row r="283" spans="1:2" x14ac:dyDescent="0.25">
      <c r="A283" s="14">
        <v>10529</v>
      </c>
      <c r="B283" s="14" t="s">
        <v>2</v>
      </c>
    </row>
    <row r="284" spans="1:2" x14ac:dyDescent="0.25">
      <c r="A284" s="14">
        <v>10530</v>
      </c>
      <c r="B284" s="14" t="s">
        <v>5</v>
      </c>
    </row>
    <row r="285" spans="1:2" x14ac:dyDescent="0.25">
      <c r="A285" s="14">
        <v>10531</v>
      </c>
      <c r="B285" s="15" t="s">
        <v>82</v>
      </c>
    </row>
    <row r="286" spans="1:2" x14ac:dyDescent="0.25">
      <c r="A286" s="14">
        <v>10532</v>
      </c>
      <c r="B286" s="15" t="s">
        <v>82</v>
      </c>
    </row>
    <row r="287" spans="1:2" x14ac:dyDescent="0.25">
      <c r="A287" s="14">
        <v>10533</v>
      </c>
      <c r="B287" s="14" t="s">
        <v>80</v>
      </c>
    </row>
    <row r="288" spans="1:2" x14ac:dyDescent="0.25">
      <c r="A288" s="14">
        <v>10534</v>
      </c>
      <c r="B288" s="14" t="s">
        <v>80</v>
      </c>
    </row>
    <row r="289" spans="1:2" x14ac:dyDescent="0.25">
      <c r="A289" s="14">
        <v>10535</v>
      </c>
      <c r="B289" s="15" t="s">
        <v>4</v>
      </c>
    </row>
    <row r="290" spans="1:2" x14ac:dyDescent="0.25">
      <c r="A290" s="14">
        <v>10536</v>
      </c>
      <c r="B290" s="14" t="s">
        <v>5</v>
      </c>
    </row>
    <row r="291" spans="1:2" x14ac:dyDescent="0.25">
      <c r="A291" s="14">
        <v>10537</v>
      </c>
      <c r="B291" s="14" t="s">
        <v>79</v>
      </c>
    </row>
    <row r="292" spans="1:2" x14ac:dyDescent="0.25">
      <c r="A292" s="14">
        <v>10538</v>
      </c>
      <c r="B292" s="14" t="s">
        <v>6</v>
      </c>
    </row>
    <row r="293" spans="1:2" x14ac:dyDescent="0.25">
      <c r="A293" s="14">
        <v>10539</v>
      </c>
      <c r="B293" s="14" t="s">
        <v>3</v>
      </c>
    </row>
    <row r="294" spans="1:2" x14ac:dyDescent="0.25">
      <c r="A294" s="14">
        <v>10540</v>
      </c>
      <c r="B294" s="14" t="s">
        <v>5</v>
      </c>
    </row>
    <row r="295" spans="1:2" x14ac:dyDescent="0.25">
      <c r="A295" s="14">
        <v>10541</v>
      </c>
      <c r="B295" s="14" t="s">
        <v>81</v>
      </c>
    </row>
    <row r="296" spans="1:2" x14ac:dyDescent="0.25">
      <c r="A296" s="14">
        <v>10542</v>
      </c>
      <c r="B296" s="14" t="s">
        <v>79</v>
      </c>
    </row>
    <row r="297" spans="1:2" x14ac:dyDescent="0.25">
      <c r="A297" s="14">
        <v>10543</v>
      </c>
      <c r="B297" s="14" t="s">
        <v>80</v>
      </c>
    </row>
    <row r="298" spans="1:2" x14ac:dyDescent="0.25">
      <c r="A298" s="14">
        <v>10544</v>
      </c>
      <c r="B298" s="15" t="s">
        <v>4</v>
      </c>
    </row>
    <row r="299" spans="1:2" x14ac:dyDescent="0.25">
      <c r="A299" s="14">
        <v>10545</v>
      </c>
      <c r="B299" s="14" t="s">
        <v>80</v>
      </c>
    </row>
    <row r="300" spans="1:2" x14ac:dyDescent="0.25">
      <c r="A300" s="14">
        <v>10546</v>
      </c>
      <c r="B300" s="14" t="s">
        <v>79</v>
      </c>
    </row>
    <row r="301" spans="1:2" x14ac:dyDescent="0.25">
      <c r="A301" s="14">
        <v>10547</v>
      </c>
      <c r="B301" s="14" t="s">
        <v>5</v>
      </c>
    </row>
    <row r="302" spans="1:2" x14ac:dyDescent="0.25">
      <c r="A302" s="14">
        <v>10548</v>
      </c>
      <c r="B302" s="14" t="s">
        <v>5</v>
      </c>
    </row>
    <row r="303" spans="1:2" x14ac:dyDescent="0.25">
      <c r="A303" s="14">
        <v>10549</v>
      </c>
      <c r="B303" s="14" t="s">
        <v>2</v>
      </c>
    </row>
    <row r="304" spans="1:2" x14ac:dyDescent="0.25">
      <c r="A304" s="14">
        <v>10550</v>
      </c>
      <c r="B304" s="15" t="s">
        <v>82</v>
      </c>
    </row>
    <row r="305" spans="1:2" x14ac:dyDescent="0.25">
      <c r="A305" s="14">
        <v>10551</v>
      </c>
      <c r="B305" s="15" t="s">
        <v>4</v>
      </c>
    </row>
    <row r="306" spans="1:2" x14ac:dyDescent="0.25">
      <c r="A306" s="14">
        <v>10552</v>
      </c>
      <c r="B306" s="14" t="s">
        <v>81</v>
      </c>
    </row>
    <row r="307" spans="1:2" x14ac:dyDescent="0.25">
      <c r="A307" s="14">
        <v>10553</v>
      </c>
      <c r="B307" s="14" t="s">
        <v>81</v>
      </c>
    </row>
    <row r="308" spans="1:2" x14ac:dyDescent="0.25">
      <c r="A308" s="14">
        <v>10554</v>
      </c>
      <c r="B308" s="15" t="s">
        <v>4</v>
      </c>
    </row>
    <row r="309" spans="1:2" x14ac:dyDescent="0.25">
      <c r="A309" s="14">
        <v>10555</v>
      </c>
      <c r="B309" s="14" t="s">
        <v>3</v>
      </c>
    </row>
    <row r="310" spans="1:2" x14ac:dyDescent="0.25">
      <c r="A310" s="14">
        <v>10556</v>
      </c>
      <c r="B310" s="14" t="s">
        <v>81</v>
      </c>
    </row>
    <row r="311" spans="1:2" x14ac:dyDescent="0.25">
      <c r="A311" s="14">
        <v>10557</v>
      </c>
      <c r="B311" s="14" t="s">
        <v>6</v>
      </c>
    </row>
    <row r="312" spans="1:2" x14ac:dyDescent="0.25">
      <c r="A312" s="14">
        <v>10558</v>
      </c>
      <c r="B312" s="14" t="s">
        <v>79</v>
      </c>
    </row>
    <row r="313" spans="1:2" x14ac:dyDescent="0.25">
      <c r="A313" s="14">
        <v>10559</v>
      </c>
      <c r="B313" s="14" t="s">
        <v>3</v>
      </c>
    </row>
    <row r="314" spans="1:2" x14ac:dyDescent="0.25">
      <c r="A314" s="14">
        <v>10560</v>
      </c>
      <c r="B314" s="14" t="s">
        <v>80</v>
      </c>
    </row>
    <row r="315" spans="1:2" x14ac:dyDescent="0.25">
      <c r="A315" s="14">
        <v>10561</v>
      </c>
      <c r="B315" s="14" t="s">
        <v>81</v>
      </c>
    </row>
    <row r="316" spans="1:2" x14ac:dyDescent="0.25">
      <c r="A316" s="14">
        <v>10562</v>
      </c>
      <c r="B316" s="14" t="s">
        <v>79</v>
      </c>
    </row>
    <row r="317" spans="1:2" x14ac:dyDescent="0.25">
      <c r="A317" s="14">
        <v>10563</v>
      </c>
      <c r="B317" s="14" t="s">
        <v>81</v>
      </c>
    </row>
    <row r="318" spans="1:2" x14ac:dyDescent="0.25">
      <c r="A318" s="14">
        <v>10564</v>
      </c>
      <c r="B318" s="15" t="s">
        <v>4</v>
      </c>
    </row>
    <row r="319" spans="1:2" x14ac:dyDescent="0.25">
      <c r="A319" s="14">
        <v>10565</v>
      </c>
      <c r="B319" s="14" t="s">
        <v>80</v>
      </c>
    </row>
    <row r="320" spans="1:2" x14ac:dyDescent="0.25">
      <c r="A320" s="14">
        <v>10566</v>
      </c>
      <c r="B320" s="14" t="s">
        <v>6</v>
      </c>
    </row>
    <row r="321" spans="1:2" x14ac:dyDescent="0.25">
      <c r="A321" s="14">
        <v>10567</v>
      </c>
      <c r="B321" s="14" t="s">
        <v>79</v>
      </c>
    </row>
    <row r="322" spans="1:2" x14ac:dyDescent="0.25">
      <c r="A322" s="14">
        <v>10568</v>
      </c>
      <c r="B322" s="14" t="s">
        <v>5</v>
      </c>
    </row>
    <row r="323" spans="1:2" x14ac:dyDescent="0.25">
      <c r="A323" s="14">
        <v>10569</v>
      </c>
      <c r="B323" s="14" t="s">
        <v>2</v>
      </c>
    </row>
    <row r="324" spans="1:2" x14ac:dyDescent="0.25">
      <c r="A324" s="14">
        <v>10570</v>
      </c>
      <c r="B324" s="14" t="s">
        <v>5</v>
      </c>
    </row>
    <row r="325" spans="1:2" x14ac:dyDescent="0.25">
      <c r="A325" s="14">
        <v>10571</v>
      </c>
      <c r="B325" s="14" t="s">
        <v>80</v>
      </c>
    </row>
    <row r="326" spans="1:2" x14ac:dyDescent="0.25">
      <c r="A326" s="14">
        <v>10572</v>
      </c>
      <c r="B326" s="14" t="s">
        <v>5</v>
      </c>
    </row>
    <row r="327" spans="1:2" x14ac:dyDescent="0.25">
      <c r="A327" s="14">
        <v>10573</v>
      </c>
      <c r="B327" s="15" t="s">
        <v>82</v>
      </c>
    </row>
    <row r="328" spans="1:2" x14ac:dyDescent="0.25">
      <c r="A328" s="14">
        <v>10574</v>
      </c>
      <c r="B328" s="15" t="s">
        <v>4</v>
      </c>
    </row>
    <row r="329" spans="1:2" x14ac:dyDescent="0.25">
      <c r="A329" s="14">
        <v>10575</v>
      </c>
      <c r="B329" s="14" t="s">
        <v>2</v>
      </c>
    </row>
    <row r="330" spans="1:2" x14ac:dyDescent="0.25">
      <c r="A330" s="14">
        <v>10576</v>
      </c>
      <c r="B330" s="14" t="s">
        <v>5</v>
      </c>
    </row>
    <row r="331" spans="1:2" x14ac:dyDescent="0.25">
      <c r="A331" s="14">
        <v>10577</v>
      </c>
      <c r="B331" s="14" t="s">
        <v>6</v>
      </c>
    </row>
    <row r="332" spans="1:2" x14ac:dyDescent="0.25">
      <c r="A332" s="14">
        <v>10578</v>
      </c>
      <c r="B332" s="15" t="s">
        <v>4</v>
      </c>
    </row>
    <row r="333" spans="1:2" x14ac:dyDescent="0.25">
      <c r="A333" s="14">
        <v>10579</v>
      </c>
      <c r="B333" s="14" t="s">
        <v>79</v>
      </c>
    </row>
    <row r="334" spans="1:2" x14ac:dyDescent="0.25">
      <c r="A334" s="14">
        <v>10580</v>
      </c>
      <c r="B334" s="15" t="s">
        <v>4</v>
      </c>
    </row>
    <row r="335" spans="1:2" x14ac:dyDescent="0.25">
      <c r="A335" s="14">
        <v>10581</v>
      </c>
      <c r="B335" s="14" t="s">
        <v>5</v>
      </c>
    </row>
    <row r="336" spans="1:2" x14ac:dyDescent="0.25">
      <c r="A336" s="14">
        <v>10582</v>
      </c>
      <c r="B336" s="14" t="s">
        <v>5</v>
      </c>
    </row>
    <row r="337" spans="1:2" x14ac:dyDescent="0.25">
      <c r="A337" s="14">
        <v>10583</v>
      </c>
      <c r="B337" s="14" t="s">
        <v>81</v>
      </c>
    </row>
    <row r="338" spans="1:2" x14ac:dyDescent="0.25">
      <c r="A338" s="14">
        <v>10584</v>
      </c>
      <c r="B338" s="15" t="s">
        <v>4</v>
      </c>
    </row>
    <row r="339" spans="1:2" x14ac:dyDescent="0.25">
      <c r="A339" s="14">
        <v>10585</v>
      </c>
      <c r="B339" s="15" t="s">
        <v>82</v>
      </c>
    </row>
    <row r="340" spans="1:2" x14ac:dyDescent="0.25">
      <c r="A340" s="14">
        <v>10586</v>
      </c>
      <c r="B340" s="14" t="s">
        <v>6</v>
      </c>
    </row>
    <row r="341" spans="1:2" x14ac:dyDescent="0.25">
      <c r="A341" s="14">
        <v>10587</v>
      </c>
      <c r="B341" s="14" t="s">
        <v>79</v>
      </c>
    </row>
    <row r="342" spans="1:2" x14ac:dyDescent="0.25">
      <c r="A342" s="14">
        <v>10588</v>
      </c>
      <c r="B342" s="14" t="s">
        <v>81</v>
      </c>
    </row>
    <row r="343" spans="1:2" x14ac:dyDescent="0.25">
      <c r="A343" s="14">
        <v>10589</v>
      </c>
      <c r="B343" s="14" t="s">
        <v>80</v>
      </c>
    </row>
    <row r="344" spans="1:2" x14ac:dyDescent="0.25">
      <c r="A344" s="14">
        <v>10590</v>
      </c>
      <c r="B344" s="15" t="s">
        <v>4</v>
      </c>
    </row>
    <row r="345" spans="1:2" x14ac:dyDescent="0.25">
      <c r="A345" s="14">
        <v>10591</v>
      </c>
      <c r="B345" s="14" t="s">
        <v>79</v>
      </c>
    </row>
    <row r="346" spans="1:2" x14ac:dyDescent="0.25">
      <c r="A346" s="14">
        <v>10592</v>
      </c>
      <c r="B346" s="14" t="s">
        <v>5</v>
      </c>
    </row>
    <row r="347" spans="1:2" x14ac:dyDescent="0.25">
      <c r="A347" s="14">
        <v>10593</v>
      </c>
      <c r="B347" s="15" t="s">
        <v>82</v>
      </c>
    </row>
    <row r="348" spans="1:2" x14ac:dyDescent="0.25">
      <c r="A348" s="14">
        <v>10594</v>
      </c>
      <c r="B348" s="14" t="s">
        <v>5</v>
      </c>
    </row>
    <row r="349" spans="1:2" x14ac:dyDescent="0.25">
      <c r="A349" s="14">
        <v>10595</v>
      </c>
      <c r="B349" s="14" t="s">
        <v>81</v>
      </c>
    </row>
    <row r="350" spans="1:2" x14ac:dyDescent="0.25">
      <c r="A350" s="14">
        <v>10596</v>
      </c>
      <c r="B350" s="14" t="s">
        <v>80</v>
      </c>
    </row>
    <row r="351" spans="1:2" x14ac:dyDescent="0.25">
      <c r="A351" s="14">
        <v>10597</v>
      </c>
      <c r="B351" s="15" t="s">
        <v>82</v>
      </c>
    </row>
    <row r="352" spans="1:2" x14ac:dyDescent="0.25">
      <c r="A352" s="14">
        <v>10598</v>
      </c>
      <c r="B352" s="14" t="s">
        <v>79</v>
      </c>
    </row>
    <row r="353" spans="1:2" x14ac:dyDescent="0.25">
      <c r="A353" s="14">
        <v>10599</v>
      </c>
      <c r="B353" s="14" t="s">
        <v>3</v>
      </c>
    </row>
    <row r="354" spans="1:2" x14ac:dyDescent="0.25">
      <c r="A354" s="14">
        <v>10600</v>
      </c>
      <c r="B354" s="15" t="s">
        <v>4</v>
      </c>
    </row>
    <row r="355" spans="1:2" x14ac:dyDescent="0.25">
      <c r="A355" s="14">
        <v>10601</v>
      </c>
      <c r="B355" s="15" t="s">
        <v>82</v>
      </c>
    </row>
    <row r="356" spans="1:2" x14ac:dyDescent="0.25">
      <c r="A356" s="14">
        <v>10602</v>
      </c>
      <c r="B356" s="14" t="s">
        <v>80</v>
      </c>
    </row>
    <row r="357" spans="1:2" x14ac:dyDescent="0.25">
      <c r="A357" s="14">
        <v>10603</v>
      </c>
      <c r="B357" s="14" t="s">
        <v>80</v>
      </c>
    </row>
    <row r="358" spans="1:2" x14ac:dyDescent="0.25">
      <c r="A358" s="14">
        <v>10604</v>
      </c>
      <c r="B358" s="14" t="s">
        <v>79</v>
      </c>
    </row>
    <row r="359" spans="1:2" x14ac:dyDescent="0.25">
      <c r="A359" s="14">
        <v>10605</v>
      </c>
      <c r="B359" s="14" t="s">
        <v>79</v>
      </c>
    </row>
    <row r="360" spans="1:2" x14ac:dyDescent="0.25">
      <c r="A360" s="14">
        <v>10606</v>
      </c>
      <c r="B360" s="15" t="s">
        <v>4</v>
      </c>
    </row>
    <row r="361" spans="1:2" x14ac:dyDescent="0.25">
      <c r="A361" s="14">
        <v>10607</v>
      </c>
      <c r="B361" s="14" t="s">
        <v>2</v>
      </c>
    </row>
    <row r="362" spans="1:2" x14ac:dyDescent="0.25">
      <c r="A362" s="14">
        <v>10608</v>
      </c>
      <c r="B362" s="15" t="s">
        <v>4</v>
      </c>
    </row>
    <row r="363" spans="1:2" x14ac:dyDescent="0.25">
      <c r="A363" s="14">
        <v>10609</v>
      </c>
      <c r="B363" s="15" t="s">
        <v>82</v>
      </c>
    </row>
    <row r="364" spans="1:2" x14ac:dyDescent="0.25">
      <c r="A364" s="14">
        <v>10610</v>
      </c>
      <c r="B364" s="14" t="s">
        <v>80</v>
      </c>
    </row>
    <row r="365" spans="1:2" x14ac:dyDescent="0.25">
      <c r="A365" s="14">
        <v>10611</v>
      </c>
      <c r="B365" s="14" t="s">
        <v>3</v>
      </c>
    </row>
    <row r="366" spans="1:2" x14ac:dyDescent="0.25">
      <c r="A366" s="14">
        <v>10612</v>
      </c>
      <c r="B366" s="14" t="s">
        <v>79</v>
      </c>
    </row>
    <row r="367" spans="1:2" x14ac:dyDescent="0.25">
      <c r="A367" s="14">
        <v>10613</v>
      </c>
      <c r="B367" s="15" t="s">
        <v>4</v>
      </c>
    </row>
    <row r="368" spans="1:2" x14ac:dyDescent="0.25">
      <c r="A368" s="14">
        <v>10614</v>
      </c>
      <c r="B368" s="14" t="s">
        <v>80</v>
      </c>
    </row>
    <row r="369" spans="1:2" x14ac:dyDescent="0.25">
      <c r="A369" s="14">
        <v>10615</v>
      </c>
      <c r="B369" s="14" t="s">
        <v>81</v>
      </c>
    </row>
    <row r="370" spans="1:2" x14ac:dyDescent="0.25">
      <c r="A370" s="14">
        <v>10616</v>
      </c>
      <c r="B370" s="14" t="s">
        <v>79</v>
      </c>
    </row>
    <row r="371" spans="1:2" x14ac:dyDescent="0.25">
      <c r="A371" s="14">
        <v>10617</v>
      </c>
      <c r="B371" s="15" t="s">
        <v>4</v>
      </c>
    </row>
    <row r="372" spans="1:2" x14ac:dyDescent="0.25">
      <c r="A372" s="14">
        <v>10618</v>
      </c>
      <c r="B372" s="14" t="s">
        <v>79</v>
      </c>
    </row>
    <row r="373" spans="1:2" x14ac:dyDescent="0.25">
      <c r="A373" s="14">
        <v>10619</v>
      </c>
      <c r="B373" s="14" t="s">
        <v>5</v>
      </c>
    </row>
    <row r="374" spans="1:2" x14ac:dyDescent="0.25">
      <c r="A374" s="14">
        <v>10620</v>
      </c>
      <c r="B374" s="14" t="s">
        <v>81</v>
      </c>
    </row>
    <row r="375" spans="1:2" x14ac:dyDescent="0.25">
      <c r="A375" s="14">
        <v>10621</v>
      </c>
      <c r="B375" s="15" t="s">
        <v>4</v>
      </c>
    </row>
    <row r="376" spans="1:2" x14ac:dyDescent="0.25">
      <c r="A376" s="14">
        <v>10622</v>
      </c>
      <c r="B376" s="15" t="s">
        <v>4</v>
      </c>
    </row>
    <row r="377" spans="1:2" x14ac:dyDescent="0.25">
      <c r="A377" s="14">
        <v>10623</v>
      </c>
      <c r="B377" s="14" t="s">
        <v>80</v>
      </c>
    </row>
    <row r="378" spans="1:2" x14ac:dyDescent="0.25">
      <c r="A378" s="14">
        <v>10624</v>
      </c>
      <c r="B378" s="15" t="s">
        <v>4</v>
      </c>
    </row>
    <row r="379" spans="1:2" x14ac:dyDescent="0.25">
      <c r="A379" s="14">
        <v>10625</v>
      </c>
      <c r="B379" s="14" t="s">
        <v>5</v>
      </c>
    </row>
    <row r="380" spans="1:2" x14ac:dyDescent="0.25">
      <c r="A380" s="14">
        <v>10626</v>
      </c>
      <c r="B380" s="14" t="s">
        <v>79</v>
      </c>
    </row>
    <row r="381" spans="1:2" x14ac:dyDescent="0.25">
      <c r="A381" s="14">
        <v>10627</v>
      </c>
      <c r="B381" s="14" t="s">
        <v>80</v>
      </c>
    </row>
    <row r="382" spans="1:2" x14ac:dyDescent="0.25">
      <c r="A382" s="14">
        <v>10628</v>
      </c>
      <c r="B382" s="15" t="s">
        <v>4</v>
      </c>
    </row>
    <row r="383" spans="1:2" x14ac:dyDescent="0.25">
      <c r="A383" s="14">
        <v>10629</v>
      </c>
      <c r="B383" s="15" t="s">
        <v>4</v>
      </c>
    </row>
    <row r="384" spans="1:2" x14ac:dyDescent="0.25">
      <c r="A384" s="14">
        <v>10630</v>
      </c>
      <c r="B384" s="14" t="s">
        <v>79</v>
      </c>
    </row>
    <row r="385" spans="1:2" x14ac:dyDescent="0.25">
      <c r="A385" s="14">
        <v>10631</v>
      </c>
      <c r="B385" s="14" t="s">
        <v>80</v>
      </c>
    </row>
    <row r="386" spans="1:2" x14ac:dyDescent="0.25">
      <c r="A386" s="14">
        <v>10632</v>
      </c>
      <c r="B386" s="14" t="s">
        <v>80</v>
      </c>
    </row>
    <row r="387" spans="1:2" x14ac:dyDescent="0.25">
      <c r="A387" s="14">
        <v>10633</v>
      </c>
      <c r="B387" s="15" t="s">
        <v>82</v>
      </c>
    </row>
    <row r="388" spans="1:2" x14ac:dyDescent="0.25">
      <c r="A388" s="14">
        <v>10634</v>
      </c>
      <c r="B388" s="15" t="s">
        <v>4</v>
      </c>
    </row>
    <row r="389" spans="1:2" x14ac:dyDescent="0.25">
      <c r="A389" s="14">
        <v>10635</v>
      </c>
      <c r="B389" s="14" t="s">
        <v>80</v>
      </c>
    </row>
    <row r="390" spans="1:2" x14ac:dyDescent="0.25">
      <c r="A390" s="14">
        <v>10636</v>
      </c>
      <c r="B390" s="15" t="s">
        <v>4</v>
      </c>
    </row>
    <row r="391" spans="1:2" x14ac:dyDescent="0.25">
      <c r="A391" s="14">
        <v>10637</v>
      </c>
      <c r="B391" s="14" t="s">
        <v>3</v>
      </c>
    </row>
    <row r="392" spans="1:2" x14ac:dyDescent="0.25">
      <c r="A392" s="14">
        <v>10638</v>
      </c>
      <c r="B392" s="14" t="s">
        <v>5</v>
      </c>
    </row>
    <row r="393" spans="1:2" x14ac:dyDescent="0.25">
      <c r="A393" s="14">
        <v>10639</v>
      </c>
      <c r="B393" s="15" t="s">
        <v>82</v>
      </c>
    </row>
    <row r="394" spans="1:2" x14ac:dyDescent="0.25">
      <c r="A394" s="14">
        <v>10640</v>
      </c>
      <c r="B394" s="15" t="s">
        <v>4</v>
      </c>
    </row>
    <row r="395" spans="1:2" x14ac:dyDescent="0.25">
      <c r="A395" s="14">
        <v>10641</v>
      </c>
      <c r="B395" s="15" t="s">
        <v>4</v>
      </c>
    </row>
    <row r="396" spans="1:2" x14ac:dyDescent="0.25">
      <c r="A396" s="14">
        <v>10642</v>
      </c>
      <c r="B396" s="15" t="s">
        <v>82</v>
      </c>
    </row>
    <row r="397" spans="1:2" x14ac:dyDescent="0.25">
      <c r="A397" s="14">
        <v>10643</v>
      </c>
      <c r="B397" s="14" t="s">
        <v>3</v>
      </c>
    </row>
    <row r="398" spans="1:2" x14ac:dyDescent="0.25">
      <c r="A398" s="14">
        <v>10644</v>
      </c>
      <c r="B398" s="14" t="s">
        <v>5</v>
      </c>
    </row>
    <row r="399" spans="1:2" x14ac:dyDescent="0.25">
      <c r="A399" s="14">
        <v>10645</v>
      </c>
      <c r="B399" s="15" t="s">
        <v>4</v>
      </c>
    </row>
    <row r="400" spans="1:2" x14ac:dyDescent="0.25">
      <c r="A400" s="14">
        <v>10646</v>
      </c>
      <c r="B400" s="14" t="s">
        <v>6</v>
      </c>
    </row>
    <row r="401" spans="1:2" x14ac:dyDescent="0.25">
      <c r="A401" s="14">
        <v>10647</v>
      </c>
      <c r="B401" s="15" t="s">
        <v>4</v>
      </c>
    </row>
    <row r="402" spans="1:2" x14ac:dyDescent="0.25">
      <c r="A402" s="14">
        <v>10648</v>
      </c>
      <c r="B402" s="14" t="s">
        <v>2</v>
      </c>
    </row>
    <row r="403" spans="1:2" x14ac:dyDescent="0.25">
      <c r="A403" s="14">
        <v>10649</v>
      </c>
      <c r="B403" s="14" t="s">
        <v>2</v>
      </c>
    </row>
    <row r="404" spans="1:2" x14ac:dyDescent="0.25">
      <c r="A404" s="14">
        <v>10650</v>
      </c>
      <c r="B404" s="14" t="s">
        <v>2</v>
      </c>
    </row>
    <row r="405" spans="1:2" x14ac:dyDescent="0.25">
      <c r="A405" s="14">
        <v>10651</v>
      </c>
      <c r="B405" s="14" t="s">
        <v>80</v>
      </c>
    </row>
    <row r="406" spans="1:2" x14ac:dyDescent="0.25">
      <c r="A406" s="14">
        <v>10652</v>
      </c>
      <c r="B406" s="15" t="s">
        <v>4</v>
      </c>
    </row>
    <row r="407" spans="1:2" x14ac:dyDescent="0.25">
      <c r="A407" s="14">
        <v>10653</v>
      </c>
      <c r="B407" s="14" t="s">
        <v>79</v>
      </c>
    </row>
    <row r="408" spans="1:2" x14ac:dyDescent="0.25">
      <c r="A408" s="14">
        <v>10654</v>
      </c>
      <c r="B408" s="14" t="s">
        <v>2</v>
      </c>
    </row>
    <row r="409" spans="1:2" x14ac:dyDescent="0.25">
      <c r="A409" s="14">
        <v>10655</v>
      </c>
      <c r="B409" s="14" t="s">
        <v>79</v>
      </c>
    </row>
    <row r="410" spans="1:2" x14ac:dyDescent="0.25">
      <c r="A410" s="14">
        <v>10656</v>
      </c>
      <c r="B410" s="14" t="s">
        <v>3</v>
      </c>
    </row>
    <row r="411" spans="1:2" x14ac:dyDescent="0.25">
      <c r="A411" s="14">
        <v>10657</v>
      </c>
      <c r="B411" s="14" t="s">
        <v>81</v>
      </c>
    </row>
    <row r="412" spans="1:2" x14ac:dyDescent="0.25">
      <c r="A412" s="14">
        <v>10658</v>
      </c>
      <c r="B412" s="15" t="s">
        <v>4</v>
      </c>
    </row>
    <row r="413" spans="1:2" x14ac:dyDescent="0.25">
      <c r="A413" s="14">
        <v>10659</v>
      </c>
      <c r="B413" s="15" t="s">
        <v>82</v>
      </c>
    </row>
    <row r="414" spans="1:2" x14ac:dyDescent="0.25">
      <c r="A414" s="14">
        <v>10660</v>
      </c>
      <c r="B414" s="14" t="s">
        <v>80</v>
      </c>
    </row>
    <row r="415" spans="1:2" x14ac:dyDescent="0.25">
      <c r="A415" s="14">
        <v>10661</v>
      </c>
      <c r="B415" s="15" t="s">
        <v>82</v>
      </c>
    </row>
    <row r="416" spans="1:2" x14ac:dyDescent="0.25">
      <c r="A416" s="14">
        <v>10662</v>
      </c>
      <c r="B416" s="14" t="s">
        <v>5</v>
      </c>
    </row>
    <row r="417" spans="1:2" x14ac:dyDescent="0.25">
      <c r="A417" s="14">
        <v>10663</v>
      </c>
      <c r="B417" s="14" t="s">
        <v>81</v>
      </c>
    </row>
    <row r="418" spans="1:2" x14ac:dyDescent="0.25">
      <c r="A418" s="14">
        <v>10664</v>
      </c>
      <c r="B418" s="14" t="s">
        <v>79</v>
      </c>
    </row>
    <row r="419" spans="1:2" x14ac:dyDescent="0.25">
      <c r="A419" s="14">
        <v>10665</v>
      </c>
      <c r="B419" s="14" t="s">
        <v>79</v>
      </c>
    </row>
    <row r="420" spans="1:2" x14ac:dyDescent="0.25">
      <c r="A420" s="14">
        <v>10666</v>
      </c>
      <c r="B420" s="15" t="s">
        <v>82</v>
      </c>
    </row>
    <row r="421" spans="1:2" x14ac:dyDescent="0.25">
      <c r="A421" s="14">
        <v>10667</v>
      </c>
      <c r="B421" s="15" t="s">
        <v>82</v>
      </c>
    </row>
    <row r="422" spans="1:2" x14ac:dyDescent="0.25">
      <c r="A422" s="14">
        <v>10668</v>
      </c>
      <c r="B422" s="14" t="s">
        <v>79</v>
      </c>
    </row>
    <row r="423" spans="1:2" x14ac:dyDescent="0.25">
      <c r="A423" s="14">
        <v>10669</v>
      </c>
      <c r="B423" s="14" t="s">
        <v>81</v>
      </c>
    </row>
    <row r="424" spans="1:2" x14ac:dyDescent="0.25">
      <c r="A424" s="14">
        <v>10670</v>
      </c>
      <c r="B424" s="15" t="s">
        <v>4</v>
      </c>
    </row>
    <row r="425" spans="1:2" x14ac:dyDescent="0.25">
      <c r="A425" s="14">
        <v>10671</v>
      </c>
      <c r="B425" s="14" t="s">
        <v>79</v>
      </c>
    </row>
    <row r="426" spans="1:2" x14ac:dyDescent="0.25">
      <c r="A426" s="14">
        <v>10672</v>
      </c>
      <c r="B426" s="14" t="s">
        <v>6</v>
      </c>
    </row>
    <row r="427" spans="1:2" x14ac:dyDescent="0.25">
      <c r="A427" s="14">
        <v>10673</v>
      </c>
      <c r="B427" s="14" t="s">
        <v>81</v>
      </c>
    </row>
    <row r="428" spans="1:2" x14ac:dyDescent="0.25">
      <c r="A428" s="14">
        <v>10674</v>
      </c>
      <c r="B428" s="15" t="s">
        <v>4</v>
      </c>
    </row>
    <row r="429" spans="1:2" x14ac:dyDescent="0.25">
      <c r="A429" s="14">
        <v>10675</v>
      </c>
      <c r="B429" s="14" t="s">
        <v>2</v>
      </c>
    </row>
    <row r="430" spans="1:2" x14ac:dyDescent="0.25">
      <c r="A430" s="14">
        <v>10676</v>
      </c>
      <c r="B430" s="14" t="s">
        <v>81</v>
      </c>
    </row>
    <row r="431" spans="1:2" x14ac:dyDescent="0.25">
      <c r="A431" s="14">
        <v>10677</v>
      </c>
      <c r="B431" s="14" t="s">
        <v>79</v>
      </c>
    </row>
    <row r="432" spans="1:2" x14ac:dyDescent="0.25">
      <c r="A432" s="14">
        <v>10678</v>
      </c>
      <c r="B432" s="15" t="s">
        <v>82</v>
      </c>
    </row>
    <row r="433" spans="1:2" x14ac:dyDescent="0.25">
      <c r="A433" s="14">
        <v>10679</v>
      </c>
      <c r="B433" s="14" t="s">
        <v>80</v>
      </c>
    </row>
    <row r="434" spans="1:2" x14ac:dyDescent="0.25">
      <c r="A434" s="14">
        <v>10680</v>
      </c>
      <c r="B434" s="14" t="s">
        <v>79</v>
      </c>
    </row>
    <row r="435" spans="1:2" x14ac:dyDescent="0.25">
      <c r="A435" s="14">
        <v>10681</v>
      </c>
      <c r="B435" s="14" t="s">
        <v>5</v>
      </c>
    </row>
    <row r="436" spans="1:2" x14ac:dyDescent="0.25">
      <c r="A436" s="14">
        <v>10682</v>
      </c>
      <c r="B436" s="14" t="s">
        <v>5</v>
      </c>
    </row>
    <row r="437" spans="1:2" x14ac:dyDescent="0.25">
      <c r="A437" s="14">
        <v>10683</v>
      </c>
      <c r="B437" s="14" t="s">
        <v>81</v>
      </c>
    </row>
    <row r="438" spans="1:2" x14ac:dyDescent="0.25">
      <c r="A438" s="14">
        <v>10684</v>
      </c>
      <c r="B438" s="14" t="s">
        <v>5</v>
      </c>
    </row>
    <row r="439" spans="1:2" x14ac:dyDescent="0.25">
      <c r="A439" s="14">
        <v>10685</v>
      </c>
      <c r="B439" s="15" t="s">
        <v>4</v>
      </c>
    </row>
    <row r="440" spans="1:2" x14ac:dyDescent="0.25">
      <c r="A440" s="14">
        <v>10686</v>
      </c>
      <c r="B440" s="14" t="s">
        <v>81</v>
      </c>
    </row>
    <row r="441" spans="1:2" x14ac:dyDescent="0.25">
      <c r="A441" s="14">
        <v>10687</v>
      </c>
      <c r="B441" s="14" t="s">
        <v>6</v>
      </c>
    </row>
    <row r="442" spans="1:2" x14ac:dyDescent="0.25">
      <c r="A442" s="14">
        <v>10688</v>
      </c>
      <c r="B442" s="15" t="s">
        <v>4</v>
      </c>
    </row>
    <row r="443" spans="1:2" x14ac:dyDescent="0.25">
      <c r="A443" s="14">
        <v>10689</v>
      </c>
      <c r="B443" s="14" t="s">
        <v>79</v>
      </c>
    </row>
    <row r="444" spans="1:2" x14ac:dyDescent="0.25">
      <c r="A444" s="14">
        <v>10690</v>
      </c>
      <c r="B444" s="14" t="s">
        <v>79</v>
      </c>
    </row>
    <row r="445" spans="1:2" x14ac:dyDescent="0.25">
      <c r="A445" s="14">
        <v>10691</v>
      </c>
      <c r="B445" s="14" t="s">
        <v>81</v>
      </c>
    </row>
    <row r="446" spans="1:2" x14ac:dyDescent="0.25">
      <c r="A446" s="14">
        <v>10692</v>
      </c>
      <c r="B446" s="15" t="s">
        <v>4</v>
      </c>
    </row>
    <row r="447" spans="1:2" x14ac:dyDescent="0.25">
      <c r="A447" s="14">
        <v>10693</v>
      </c>
      <c r="B447" s="14" t="s">
        <v>5</v>
      </c>
    </row>
    <row r="448" spans="1:2" x14ac:dyDescent="0.25">
      <c r="A448" s="14">
        <v>10694</v>
      </c>
      <c r="B448" s="14" t="s">
        <v>80</v>
      </c>
    </row>
    <row r="449" spans="1:2" x14ac:dyDescent="0.25">
      <c r="A449" s="14">
        <v>10695</v>
      </c>
      <c r="B449" s="15" t="s">
        <v>82</v>
      </c>
    </row>
    <row r="450" spans="1:2" x14ac:dyDescent="0.25">
      <c r="A450" s="14">
        <v>10696</v>
      </c>
      <c r="B450" s="14" t="s">
        <v>80</v>
      </c>
    </row>
    <row r="451" spans="1:2" x14ac:dyDescent="0.25">
      <c r="A451" s="14">
        <v>10697</v>
      </c>
      <c r="B451" s="14" t="s">
        <v>5</v>
      </c>
    </row>
    <row r="452" spans="1:2" x14ac:dyDescent="0.25">
      <c r="A452" s="14">
        <v>10698</v>
      </c>
      <c r="B452" s="15" t="s">
        <v>4</v>
      </c>
    </row>
    <row r="453" spans="1:2" x14ac:dyDescent="0.25">
      <c r="A453" s="14">
        <v>10699</v>
      </c>
      <c r="B453" s="14" t="s">
        <v>5</v>
      </c>
    </row>
    <row r="454" spans="1:2" x14ac:dyDescent="0.25">
      <c r="A454" s="14">
        <v>10700</v>
      </c>
      <c r="B454" s="14" t="s">
        <v>5</v>
      </c>
    </row>
    <row r="455" spans="1:2" x14ac:dyDescent="0.25">
      <c r="A455" s="14">
        <v>10701</v>
      </c>
      <c r="B455" s="14" t="s">
        <v>3</v>
      </c>
    </row>
    <row r="456" spans="1:2" x14ac:dyDescent="0.25">
      <c r="A456" s="14">
        <v>10702</v>
      </c>
      <c r="B456" s="15" t="s">
        <v>4</v>
      </c>
    </row>
    <row r="457" spans="1:2" x14ac:dyDescent="0.25">
      <c r="A457" s="14">
        <v>10703</v>
      </c>
      <c r="B457" s="14" t="s">
        <v>3</v>
      </c>
    </row>
    <row r="458" spans="1:2" x14ac:dyDescent="0.25">
      <c r="A458" s="14">
        <v>10704</v>
      </c>
      <c r="B458" s="14" t="s">
        <v>3</v>
      </c>
    </row>
    <row r="459" spans="1:2" x14ac:dyDescent="0.25">
      <c r="A459" s="14">
        <v>10705</v>
      </c>
      <c r="B459" s="14" t="s">
        <v>6</v>
      </c>
    </row>
    <row r="460" spans="1:2" x14ac:dyDescent="0.25">
      <c r="A460" s="14">
        <v>10706</v>
      </c>
      <c r="B460" s="14" t="s">
        <v>80</v>
      </c>
    </row>
    <row r="461" spans="1:2" x14ac:dyDescent="0.25">
      <c r="A461" s="14">
        <v>10707</v>
      </c>
      <c r="B461" s="15" t="s">
        <v>4</v>
      </c>
    </row>
    <row r="462" spans="1:2" x14ac:dyDescent="0.25">
      <c r="A462" s="14">
        <v>10708</v>
      </c>
      <c r="B462" s="14" t="s">
        <v>3</v>
      </c>
    </row>
    <row r="463" spans="1:2" x14ac:dyDescent="0.25">
      <c r="A463" s="14">
        <v>10709</v>
      </c>
      <c r="B463" s="14" t="s">
        <v>79</v>
      </c>
    </row>
    <row r="464" spans="1:2" x14ac:dyDescent="0.25">
      <c r="A464" s="14">
        <v>10710</v>
      </c>
      <c r="B464" s="14" t="s">
        <v>79</v>
      </c>
    </row>
    <row r="465" spans="1:2" x14ac:dyDescent="0.25">
      <c r="A465" s="14">
        <v>10711</v>
      </c>
      <c r="B465" s="14" t="s">
        <v>2</v>
      </c>
    </row>
    <row r="466" spans="1:2" x14ac:dyDescent="0.25">
      <c r="A466" s="14">
        <v>10712</v>
      </c>
      <c r="B466" s="14" t="s">
        <v>5</v>
      </c>
    </row>
    <row r="467" spans="1:2" x14ac:dyDescent="0.25">
      <c r="A467" s="14">
        <v>10713</v>
      </c>
      <c r="B467" s="14" t="s">
        <v>79</v>
      </c>
    </row>
    <row r="468" spans="1:2" x14ac:dyDescent="0.25">
      <c r="A468" s="14">
        <v>10714</v>
      </c>
      <c r="B468" s="14" t="s">
        <v>2</v>
      </c>
    </row>
    <row r="469" spans="1:2" x14ac:dyDescent="0.25">
      <c r="A469" s="14">
        <v>10715</v>
      </c>
      <c r="B469" s="14" t="s">
        <v>5</v>
      </c>
    </row>
    <row r="470" spans="1:2" x14ac:dyDescent="0.25">
      <c r="A470" s="14">
        <v>10716</v>
      </c>
      <c r="B470" s="15" t="s">
        <v>4</v>
      </c>
    </row>
    <row r="471" spans="1:2" x14ac:dyDescent="0.25">
      <c r="A471" s="14">
        <v>10717</v>
      </c>
      <c r="B471" s="14" t="s">
        <v>79</v>
      </c>
    </row>
    <row r="472" spans="1:2" x14ac:dyDescent="0.25">
      <c r="A472" s="14">
        <v>10718</v>
      </c>
      <c r="B472" s="14" t="s">
        <v>79</v>
      </c>
    </row>
    <row r="473" spans="1:2" x14ac:dyDescent="0.25">
      <c r="A473" s="14">
        <v>10719</v>
      </c>
      <c r="B473" s="14" t="s">
        <v>80</v>
      </c>
    </row>
    <row r="474" spans="1:2" x14ac:dyDescent="0.25">
      <c r="A474" s="14">
        <v>10720</v>
      </c>
      <c r="B474" s="14" t="s">
        <v>80</v>
      </c>
    </row>
    <row r="475" spans="1:2" x14ac:dyDescent="0.25">
      <c r="A475" s="14">
        <v>10721</v>
      </c>
      <c r="B475" s="14" t="s">
        <v>2</v>
      </c>
    </row>
    <row r="476" spans="1:2" x14ac:dyDescent="0.25">
      <c r="A476" s="14">
        <v>10722</v>
      </c>
      <c r="B476" s="14" t="s">
        <v>80</v>
      </c>
    </row>
    <row r="477" spans="1:2" x14ac:dyDescent="0.25">
      <c r="A477" s="14">
        <v>10723</v>
      </c>
      <c r="B477" s="14" t="s">
        <v>5</v>
      </c>
    </row>
    <row r="478" spans="1:2" x14ac:dyDescent="0.25">
      <c r="A478" s="14">
        <v>10724</v>
      </c>
      <c r="B478" s="14" t="s">
        <v>80</v>
      </c>
    </row>
    <row r="479" spans="1:2" x14ac:dyDescent="0.25">
      <c r="A479" s="14">
        <v>10725</v>
      </c>
      <c r="B479" s="15" t="s">
        <v>4</v>
      </c>
    </row>
    <row r="480" spans="1:2" x14ac:dyDescent="0.25">
      <c r="A480" s="14">
        <v>10726</v>
      </c>
      <c r="B480" s="15" t="s">
        <v>4</v>
      </c>
    </row>
    <row r="481" spans="1:2" x14ac:dyDescent="0.25">
      <c r="A481" s="14">
        <v>10727</v>
      </c>
      <c r="B481" s="14" t="s">
        <v>81</v>
      </c>
    </row>
    <row r="482" spans="1:2" x14ac:dyDescent="0.25">
      <c r="A482" s="14">
        <v>10728</v>
      </c>
      <c r="B482" s="15" t="s">
        <v>4</v>
      </c>
    </row>
    <row r="483" spans="1:2" x14ac:dyDescent="0.25">
      <c r="A483" s="14">
        <v>10729</v>
      </c>
      <c r="B483" s="14" t="s">
        <v>80</v>
      </c>
    </row>
    <row r="484" spans="1:2" x14ac:dyDescent="0.25">
      <c r="A484" s="14">
        <v>10730</v>
      </c>
      <c r="B484" s="14" t="s">
        <v>2</v>
      </c>
    </row>
    <row r="485" spans="1:2" x14ac:dyDescent="0.25">
      <c r="A485" s="14">
        <v>10731</v>
      </c>
      <c r="B485" s="15" t="s">
        <v>82</v>
      </c>
    </row>
    <row r="486" spans="1:2" x14ac:dyDescent="0.25">
      <c r="A486" s="14">
        <v>10732</v>
      </c>
      <c r="B486" s="14" t="s">
        <v>5</v>
      </c>
    </row>
    <row r="487" spans="1:2" x14ac:dyDescent="0.25">
      <c r="A487" s="14">
        <v>10733</v>
      </c>
      <c r="B487" s="14" t="s">
        <v>79</v>
      </c>
    </row>
    <row r="488" spans="1:2" x14ac:dyDescent="0.25">
      <c r="A488" s="14">
        <v>10734</v>
      </c>
      <c r="B488" s="14" t="s">
        <v>81</v>
      </c>
    </row>
    <row r="489" spans="1:2" x14ac:dyDescent="0.25">
      <c r="A489" s="14">
        <v>10735</v>
      </c>
      <c r="B489" s="14" t="s">
        <v>3</v>
      </c>
    </row>
    <row r="490" spans="1:2" x14ac:dyDescent="0.25">
      <c r="A490" s="14">
        <v>10736</v>
      </c>
      <c r="B490" s="14" t="s">
        <v>6</v>
      </c>
    </row>
    <row r="491" spans="1:2" x14ac:dyDescent="0.25">
      <c r="A491" s="14">
        <v>10737</v>
      </c>
      <c r="B491" s="14" t="s">
        <v>81</v>
      </c>
    </row>
    <row r="492" spans="1:2" x14ac:dyDescent="0.25">
      <c r="A492" s="14">
        <v>10738</v>
      </c>
      <c r="B492" s="14" t="s">
        <v>81</v>
      </c>
    </row>
    <row r="493" spans="1:2" x14ac:dyDescent="0.25">
      <c r="A493" s="14">
        <v>10739</v>
      </c>
      <c r="B493" s="14" t="s">
        <v>5</v>
      </c>
    </row>
    <row r="494" spans="1:2" x14ac:dyDescent="0.25">
      <c r="A494" s="14">
        <v>10740</v>
      </c>
      <c r="B494" s="15" t="s">
        <v>4</v>
      </c>
    </row>
    <row r="495" spans="1:2" x14ac:dyDescent="0.25">
      <c r="A495" s="14">
        <v>10741</v>
      </c>
      <c r="B495" s="15" t="s">
        <v>4</v>
      </c>
    </row>
    <row r="496" spans="1:2" x14ac:dyDescent="0.25">
      <c r="A496" s="14">
        <v>10742</v>
      </c>
      <c r="B496" s="14" t="s">
        <v>5</v>
      </c>
    </row>
    <row r="497" spans="1:2" x14ac:dyDescent="0.25">
      <c r="A497" s="14">
        <v>10743</v>
      </c>
      <c r="B497" s="14" t="s">
        <v>79</v>
      </c>
    </row>
    <row r="498" spans="1:2" x14ac:dyDescent="0.25">
      <c r="A498" s="14">
        <v>10744</v>
      </c>
      <c r="B498" s="14" t="s">
        <v>3</v>
      </c>
    </row>
    <row r="499" spans="1:2" x14ac:dyDescent="0.25">
      <c r="A499" s="14">
        <v>10745</v>
      </c>
      <c r="B499" s="14" t="s">
        <v>6</v>
      </c>
    </row>
    <row r="500" spans="1:2" x14ac:dyDescent="0.25">
      <c r="A500" s="14">
        <v>10746</v>
      </c>
      <c r="B500" s="14" t="s">
        <v>79</v>
      </c>
    </row>
    <row r="501" spans="1:2" x14ac:dyDescent="0.25">
      <c r="A501" s="14">
        <v>10747</v>
      </c>
      <c r="B501" s="14" t="s">
        <v>3</v>
      </c>
    </row>
    <row r="502" spans="1:2" x14ac:dyDescent="0.25">
      <c r="A502" s="14">
        <v>10748</v>
      </c>
      <c r="B502" s="14" t="s">
        <v>5</v>
      </c>
    </row>
    <row r="503" spans="1:2" x14ac:dyDescent="0.25">
      <c r="A503" s="14">
        <v>10749</v>
      </c>
      <c r="B503" s="15" t="s">
        <v>4</v>
      </c>
    </row>
    <row r="504" spans="1:2" x14ac:dyDescent="0.25">
      <c r="A504" s="14">
        <v>10750</v>
      </c>
      <c r="B504" s="14" t="s">
        <v>6</v>
      </c>
    </row>
    <row r="505" spans="1:2" x14ac:dyDescent="0.25">
      <c r="A505" s="14">
        <v>10751</v>
      </c>
      <c r="B505" s="14" t="s">
        <v>5</v>
      </c>
    </row>
    <row r="506" spans="1:2" x14ac:dyDescent="0.25">
      <c r="A506" s="14">
        <v>10752</v>
      </c>
      <c r="B506" s="14" t="s">
        <v>81</v>
      </c>
    </row>
    <row r="507" spans="1:2" x14ac:dyDescent="0.25">
      <c r="A507" s="14">
        <v>10753</v>
      </c>
      <c r="B507" s="14" t="s">
        <v>5</v>
      </c>
    </row>
    <row r="508" spans="1:2" x14ac:dyDescent="0.25">
      <c r="A508" s="14">
        <v>10754</v>
      </c>
      <c r="B508" s="14" t="s">
        <v>3</v>
      </c>
    </row>
    <row r="509" spans="1:2" x14ac:dyDescent="0.25">
      <c r="A509" s="14">
        <v>10755</v>
      </c>
      <c r="B509" s="15" t="s">
        <v>4</v>
      </c>
    </row>
    <row r="510" spans="1:2" x14ac:dyDescent="0.25">
      <c r="A510" s="14">
        <v>10756</v>
      </c>
      <c r="B510" s="14" t="s">
        <v>80</v>
      </c>
    </row>
    <row r="511" spans="1:2" x14ac:dyDescent="0.25">
      <c r="A511" s="14">
        <v>10757</v>
      </c>
      <c r="B511" s="14" t="s">
        <v>3</v>
      </c>
    </row>
    <row r="512" spans="1:2" x14ac:dyDescent="0.25">
      <c r="A512" s="14">
        <v>10758</v>
      </c>
      <c r="B512" s="14" t="s">
        <v>5</v>
      </c>
    </row>
    <row r="513" spans="1:2" x14ac:dyDescent="0.25">
      <c r="A513" s="14">
        <v>10759</v>
      </c>
      <c r="B513" s="14" t="s">
        <v>5</v>
      </c>
    </row>
    <row r="514" spans="1:2" x14ac:dyDescent="0.25">
      <c r="A514" s="14">
        <v>10760</v>
      </c>
      <c r="B514" s="15" t="s">
        <v>4</v>
      </c>
    </row>
    <row r="515" spans="1:2" x14ac:dyDescent="0.25">
      <c r="A515" s="14">
        <v>10761</v>
      </c>
      <c r="B515" s="14" t="s">
        <v>2</v>
      </c>
    </row>
    <row r="516" spans="1:2" x14ac:dyDescent="0.25">
      <c r="A516" s="14">
        <v>10762</v>
      </c>
      <c r="B516" s="14" t="s">
        <v>5</v>
      </c>
    </row>
    <row r="517" spans="1:2" x14ac:dyDescent="0.25">
      <c r="A517" s="14">
        <v>10763</v>
      </c>
      <c r="B517" s="14" t="s">
        <v>5</v>
      </c>
    </row>
    <row r="518" spans="1:2" x14ac:dyDescent="0.25">
      <c r="A518" s="14">
        <v>10764</v>
      </c>
      <c r="B518" s="14" t="s">
        <v>3</v>
      </c>
    </row>
    <row r="519" spans="1:2" x14ac:dyDescent="0.25">
      <c r="A519" s="14">
        <v>10765</v>
      </c>
      <c r="B519" s="14" t="s">
        <v>5</v>
      </c>
    </row>
    <row r="520" spans="1:2" x14ac:dyDescent="0.25">
      <c r="A520" s="14">
        <v>10766</v>
      </c>
      <c r="B520" s="15" t="s">
        <v>4</v>
      </c>
    </row>
    <row r="521" spans="1:2" x14ac:dyDescent="0.25">
      <c r="A521" s="14">
        <v>10767</v>
      </c>
      <c r="B521" s="15" t="s">
        <v>4</v>
      </c>
    </row>
    <row r="522" spans="1:2" x14ac:dyDescent="0.25">
      <c r="A522" s="14">
        <v>10768</v>
      </c>
      <c r="B522" s="14" t="s">
        <v>5</v>
      </c>
    </row>
    <row r="523" spans="1:2" x14ac:dyDescent="0.25">
      <c r="A523" s="14">
        <v>10769</v>
      </c>
      <c r="B523" s="14" t="s">
        <v>5</v>
      </c>
    </row>
    <row r="524" spans="1:2" x14ac:dyDescent="0.25">
      <c r="A524" s="14">
        <v>10770</v>
      </c>
      <c r="B524" s="14" t="s">
        <v>80</v>
      </c>
    </row>
    <row r="525" spans="1:2" x14ac:dyDescent="0.25">
      <c r="A525" s="14">
        <v>10771</v>
      </c>
      <c r="B525" s="14" t="s">
        <v>6</v>
      </c>
    </row>
    <row r="526" spans="1:2" x14ac:dyDescent="0.25">
      <c r="A526" s="14">
        <v>10772</v>
      </c>
      <c r="B526" s="14" t="s">
        <v>5</v>
      </c>
    </row>
    <row r="527" spans="1:2" x14ac:dyDescent="0.25">
      <c r="A527" s="14">
        <v>10773</v>
      </c>
      <c r="B527" s="14" t="s">
        <v>79</v>
      </c>
    </row>
    <row r="528" spans="1:2" x14ac:dyDescent="0.25">
      <c r="A528" s="14">
        <v>10774</v>
      </c>
      <c r="B528" s="15" t="s">
        <v>4</v>
      </c>
    </row>
    <row r="529" spans="1:2" x14ac:dyDescent="0.25">
      <c r="A529" s="14">
        <v>10775</v>
      </c>
      <c r="B529" s="15" t="s">
        <v>82</v>
      </c>
    </row>
    <row r="530" spans="1:2" x14ac:dyDescent="0.25">
      <c r="A530" s="14">
        <v>10776</v>
      </c>
      <c r="B530" s="14" t="s">
        <v>79</v>
      </c>
    </row>
    <row r="531" spans="1:2" x14ac:dyDescent="0.25">
      <c r="A531" s="14">
        <v>10777</v>
      </c>
      <c r="B531" s="15" t="s">
        <v>82</v>
      </c>
    </row>
    <row r="532" spans="1:2" x14ac:dyDescent="0.25">
      <c r="A532" s="14">
        <v>10778</v>
      </c>
      <c r="B532" s="14" t="s">
        <v>5</v>
      </c>
    </row>
    <row r="533" spans="1:2" x14ac:dyDescent="0.25">
      <c r="A533" s="14">
        <v>10779</v>
      </c>
      <c r="B533" s="14" t="s">
        <v>5</v>
      </c>
    </row>
    <row r="534" spans="1:2" x14ac:dyDescent="0.25">
      <c r="A534" s="14">
        <v>10780</v>
      </c>
      <c r="B534" s="14" t="s">
        <v>81</v>
      </c>
    </row>
    <row r="535" spans="1:2" x14ac:dyDescent="0.25">
      <c r="A535" s="14">
        <v>10781</v>
      </c>
      <c r="B535" s="14" t="s">
        <v>81</v>
      </c>
    </row>
    <row r="536" spans="1:2" x14ac:dyDescent="0.25">
      <c r="A536" s="14">
        <v>10782</v>
      </c>
      <c r="B536" s="14" t="s">
        <v>6</v>
      </c>
    </row>
    <row r="537" spans="1:2" x14ac:dyDescent="0.25">
      <c r="A537" s="14">
        <v>10783</v>
      </c>
      <c r="B537" s="15" t="s">
        <v>4</v>
      </c>
    </row>
    <row r="538" spans="1:2" x14ac:dyDescent="0.25">
      <c r="A538" s="14">
        <v>10784</v>
      </c>
      <c r="B538" s="15" t="s">
        <v>4</v>
      </c>
    </row>
    <row r="539" spans="1:2" x14ac:dyDescent="0.25">
      <c r="A539" s="14">
        <v>10785</v>
      </c>
      <c r="B539" s="14" t="s">
        <v>79</v>
      </c>
    </row>
    <row r="540" spans="1:2" x14ac:dyDescent="0.25">
      <c r="A540" s="14">
        <v>10786</v>
      </c>
      <c r="B540" s="14" t="s">
        <v>80</v>
      </c>
    </row>
    <row r="541" spans="1:2" x14ac:dyDescent="0.25">
      <c r="A541" s="14">
        <v>10787</v>
      </c>
      <c r="B541" s="14" t="s">
        <v>81</v>
      </c>
    </row>
    <row r="542" spans="1:2" x14ac:dyDescent="0.25">
      <c r="A542" s="14">
        <v>10788</v>
      </c>
      <c r="B542" s="14" t="s">
        <v>79</v>
      </c>
    </row>
    <row r="543" spans="1:2" x14ac:dyDescent="0.25">
      <c r="A543" s="14">
        <v>10789</v>
      </c>
      <c r="B543" s="14" t="s">
        <v>79</v>
      </c>
    </row>
    <row r="544" spans="1:2" x14ac:dyDescent="0.25">
      <c r="A544" s="14">
        <v>10790</v>
      </c>
      <c r="B544" s="14" t="s">
        <v>3</v>
      </c>
    </row>
    <row r="545" spans="1:2" x14ac:dyDescent="0.25">
      <c r="A545" s="14">
        <v>10791</v>
      </c>
      <c r="B545" s="14" t="s">
        <v>3</v>
      </c>
    </row>
    <row r="546" spans="1:2" x14ac:dyDescent="0.25">
      <c r="A546" s="14">
        <v>10792</v>
      </c>
      <c r="B546" s="14" t="s">
        <v>79</v>
      </c>
    </row>
    <row r="547" spans="1:2" x14ac:dyDescent="0.25">
      <c r="A547" s="14">
        <v>10793</v>
      </c>
      <c r="B547" s="14" t="s">
        <v>5</v>
      </c>
    </row>
    <row r="548" spans="1:2" x14ac:dyDescent="0.25">
      <c r="A548" s="14">
        <v>10794</v>
      </c>
      <c r="B548" s="14" t="s">
        <v>3</v>
      </c>
    </row>
    <row r="549" spans="1:2" x14ac:dyDescent="0.25">
      <c r="A549" s="14">
        <v>10795</v>
      </c>
      <c r="B549" s="14" t="s">
        <v>80</v>
      </c>
    </row>
    <row r="550" spans="1:2" x14ac:dyDescent="0.25">
      <c r="A550" s="14">
        <v>10796</v>
      </c>
      <c r="B550" s="14" t="s">
        <v>5</v>
      </c>
    </row>
    <row r="551" spans="1:2" x14ac:dyDescent="0.25">
      <c r="A551" s="14">
        <v>10797</v>
      </c>
      <c r="B551" s="15" t="s">
        <v>82</v>
      </c>
    </row>
    <row r="552" spans="1:2" x14ac:dyDescent="0.25">
      <c r="A552" s="14">
        <v>10798</v>
      </c>
      <c r="B552" s="14" t="s">
        <v>81</v>
      </c>
    </row>
    <row r="553" spans="1:2" x14ac:dyDescent="0.25">
      <c r="A553" s="14">
        <v>10799</v>
      </c>
      <c r="B553" s="14" t="s">
        <v>6</v>
      </c>
    </row>
    <row r="554" spans="1:2" x14ac:dyDescent="0.25">
      <c r="A554" s="14">
        <v>10800</v>
      </c>
      <c r="B554" s="14" t="s">
        <v>79</v>
      </c>
    </row>
    <row r="555" spans="1:2" x14ac:dyDescent="0.25">
      <c r="A555" s="14">
        <v>10801</v>
      </c>
      <c r="B555" s="15" t="s">
        <v>4</v>
      </c>
    </row>
    <row r="556" spans="1:2" x14ac:dyDescent="0.25">
      <c r="A556" s="14">
        <v>10802</v>
      </c>
      <c r="B556" s="15" t="s">
        <v>4</v>
      </c>
    </row>
    <row r="557" spans="1:2" x14ac:dyDescent="0.25">
      <c r="A557" s="14">
        <v>10803</v>
      </c>
      <c r="B557" s="15" t="s">
        <v>4</v>
      </c>
    </row>
    <row r="558" spans="1:2" x14ac:dyDescent="0.25">
      <c r="A558" s="14">
        <v>10804</v>
      </c>
      <c r="B558" s="14" t="s">
        <v>3</v>
      </c>
    </row>
    <row r="559" spans="1:2" x14ac:dyDescent="0.25">
      <c r="A559" s="14">
        <v>10805</v>
      </c>
      <c r="B559" s="14" t="s">
        <v>81</v>
      </c>
    </row>
    <row r="560" spans="1:2" x14ac:dyDescent="0.25">
      <c r="A560" s="14">
        <v>10806</v>
      </c>
      <c r="B560" s="14" t="s">
        <v>5</v>
      </c>
    </row>
    <row r="561" spans="1:2" x14ac:dyDescent="0.25">
      <c r="A561" s="14">
        <v>10807</v>
      </c>
      <c r="B561" s="15" t="s">
        <v>4</v>
      </c>
    </row>
    <row r="562" spans="1:2" x14ac:dyDescent="0.25">
      <c r="A562" s="14">
        <v>10808</v>
      </c>
      <c r="B562" s="14" t="s">
        <v>81</v>
      </c>
    </row>
    <row r="563" spans="1:2" x14ac:dyDescent="0.25">
      <c r="A563" s="14">
        <v>10809</v>
      </c>
      <c r="B563" s="15" t="s">
        <v>82</v>
      </c>
    </row>
    <row r="564" spans="1:2" x14ac:dyDescent="0.25">
      <c r="A564" s="14">
        <v>10810</v>
      </c>
      <c r="B564" s="14" t="s">
        <v>81</v>
      </c>
    </row>
    <row r="565" spans="1:2" x14ac:dyDescent="0.25">
      <c r="A565" s="14">
        <v>10811</v>
      </c>
      <c r="B565" s="14" t="s">
        <v>80</v>
      </c>
    </row>
    <row r="566" spans="1:2" x14ac:dyDescent="0.25">
      <c r="A566" s="14">
        <v>10812</v>
      </c>
      <c r="B566" s="14" t="s">
        <v>2</v>
      </c>
    </row>
    <row r="567" spans="1:2" x14ac:dyDescent="0.25">
      <c r="A567" s="14">
        <v>10813</v>
      </c>
      <c r="B567" s="14" t="s">
        <v>79</v>
      </c>
    </row>
    <row r="568" spans="1:2" x14ac:dyDescent="0.25">
      <c r="A568" s="14">
        <v>10814</v>
      </c>
      <c r="B568" s="14" t="s">
        <v>5</v>
      </c>
    </row>
    <row r="569" spans="1:2" x14ac:dyDescent="0.25">
      <c r="A569" s="14">
        <v>10815</v>
      </c>
      <c r="B569" s="14" t="s">
        <v>81</v>
      </c>
    </row>
    <row r="570" spans="1:2" x14ac:dyDescent="0.25">
      <c r="A570" s="14">
        <v>10816</v>
      </c>
      <c r="B570" s="15" t="s">
        <v>4</v>
      </c>
    </row>
    <row r="571" spans="1:2" x14ac:dyDescent="0.25">
      <c r="A571" s="14">
        <v>10817</v>
      </c>
      <c r="B571" s="14" t="s">
        <v>5</v>
      </c>
    </row>
    <row r="572" spans="1:2" x14ac:dyDescent="0.25">
      <c r="A572" s="14">
        <v>10818</v>
      </c>
      <c r="B572" s="15" t="s">
        <v>82</v>
      </c>
    </row>
    <row r="573" spans="1:2" x14ac:dyDescent="0.25">
      <c r="A573" s="14">
        <v>10819</v>
      </c>
      <c r="B573" s="14" t="s">
        <v>81</v>
      </c>
    </row>
    <row r="574" spans="1:2" x14ac:dyDescent="0.25">
      <c r="A574" s="14">
        <v>10820</v>
      </c>
      <c r="B574" s="14" t="s">
        <v>5</v>
      </c>
    </row>
    <row r="575" spans="1:2" x14ac:dyDescent="0.25">
      <c r="A575" s="14">
        <v>10821</v>
      </c>
      <c r="B575" s="14" t="s">
        <v>79</v>
      </c>
    </row>
    <row r="576" spans="1:2" x14ac:dyDescent="0.25">
      <c r="A576" s="14">
        <v>10822</v>
      </c>
      <c r="B576" s="14" t="s">
        <v>3</v>
      </c>
    </row>
    <row r="577" spans="1:2" x14ac:dyDescent="0.25">
      <c r="A577" s="14">
        <v>10823</v>
      </c>
      <c r="B577" s="14" t="s">
        <v>2</v>
      </c>
    </row>
    <row r="578" spans="1:2" x14ac:dyDescent="0.25">
      <c r="A578" s="14">
        <v>10824</v>
      </c>
      <c r="B578" s="14" t="s">
        <v>80</v>
      </c>
    </row>
    <row r="579" spans="1:2" x14ac:dyDescent="0.25">
      <c r="A579" s="14">
        <v>10825</v>
      </c>
      <c r="B579" s="14" t="s">
        <v>79</v>
      </c>
    </row>
    <row r="580" spans="1:2" x14ac:dyDescent="0.25">
      <c r="A580" s="14">
        <v>10826</v>
      </c>
      <c r="B580" s="14" t="s">
        <v>3</v>
      </c>
    </row>
    <row r="581" spans="1:2" x14ac:dyDescent="0.25">
      <c r="A581" s="14">
        <v>10827</v>
      </c>
      <c r="B581" s="14" t="s">
        <v>79</v>
      </c>
    </row>
    <row r="582" spans="1:2" x14ac:dyDescent="0.25">
      <c r="A582" s="14">
        <v>10828</v>
      </c>
      <c r="B582" s="14" t="s">
        <v>6</v>
      </c>
    </row>
    <row r="583" spans="1:2" x14ac:dyDescent="0.25">
      <c r="A583" s="14">
        <v>10829</v>
      </c>
      <c r="B583" s="14" t="s">
        <v>6</v>
      </c>
    </row>
    <row r="584" spans="1:2" x14ac:dyDescent="0.25">
      <c r="A584" s="14">
        <v>10830</v>
      </c>
      <c r="B584" s="15" t="s">
        <v>4</v>
      </c>
    </row>
    <row r="585" spans="1:2" x14ac:dyDescent="0.25">
      <c r="A585" s="14">
        <v>10831</v>
      </c>
      <c r="B585" s="14" t="s">
        <v>5</v>
      </c>
    </row>
    <row r="586" spans="1:2" x14ac:dyDescent="0.25">
      <c r="A586" s="14">
        <v>10832</v>
      </c>
      <c r="B586" s="14" t="s">
        <v>81</v>
      </c>
    </row>
    <row r="587" spans="1:2" x14ac:dyDescent="0.25">
      <c r="A587" s="14">
        <v>10833</v>
      </c>
      <c r="B587" s="14" t="s">
        <v>3</v>
      </c>
    </row>
    <row r="588" spans="1:2" x14ac:dyDescent="0.25">
      <c r="A588" s="14">
        <v>10834</v>
      </c>
      <c r="B588" s="14" t="s">
        <v>79</v>
      </c>
    </row>
    <row r="589" spans="1:2" x14ac:dyDescent="0.25">
      <c r="A589" s="14">
        <v>10835</v>
      </c>
      <c r="B589" s="14" t="s">
        <v>79</v>
      </c>
    </row>
    <row r="590" spans="1:2" x14ac:dyDescent="0.25">
      <c r="A590" s="14">
        <v>10836</v>
      </c>
      <c r="B590" s="15" t="s">
        <v>82</v>
      </c>
    </row>
    <row r="591" spans="1:2" x14ac:dyDescent="0.25">
      <c r="A591" s="14">
        <v>10837</v>
      </c>
      <c r="B591" s="14" t="s">
        <v>6</v>
      </c>
    </row>
    <row r="592" spans="1:2" x14ac:dyDescent="0.25">
      <c r="A592" s="14">
        <v>10838</v>
      </c>
      <c r="B592" s="14" t="s">
        <v>5</v>
      </c>
    </row>
    <row r="593" spans="1:2" x14ac:dyDescent="0.25">
      <c r="A593" s="14">
        <v>10839</v>
      </c>
      <c r="B593" s="14" t="s">
        <v>5</v>
      </c>
    </row>
    <row r="594" spans="1:2" x14ac:dyDescent="0.25">
      <c r="A594" s="14">
        <v>10840</v>
      </c>
      <c r="B594" s="15" t="s">
        <v>4</v>
      </c>
    </row>
    <row r="595" spans="1:2" x14ac:dyDescent="0.25">
      <c r="A595" s="14">
        <v>10841</v>
      </c>
      <c r="B595" s="14" t="s">
        <v>2</v>
      </c>
    </row>
    <row r="596" spans="1:2" x14ac:dyDescent="0.25">
      <c r="A596" s="14">
        <v>10842</v>
      </c>
      <c r="B596" s="14" t="s">
        <v>79</v>
      </c>
    </row>
    <row r="597" spans="1:2" x14ac:dyDescent="0.25">
      <c r="A597" s="14">
        <v>10843</v>
      </c>
      <c r="B597" s="15" t="s">
        <v>4</v>
      </c>
    </row>
    <row r="598" spans="1:2" x14ac:dyDescent="0.25">
      <c r="A598" s="14">
        <v>10844</v>
      </c>
      <c r="B598" s="14" t="s">
        <v>80</v>
      </c>
    </row>
    <row r="599" spans="1:2" x14ac:dyDescent="0.25">
      <c r="A599" s="14">
        <v>10845</v>
      </c>
      <c r="B599" s="14" t="s">
        <v>80</v>
      </c>
    </row>
    <row r="600" spans="1:2" x14ac:dyDescent="0.25">
      <c r="A600" s="14">
        <v>10846</v>
      </c>
      <c r="B600" s="14" t="s">
        <v>81</v>
      </c>
    </row>
    <row r="601" spans="1:2" x14ac:dyDescent="0.25">
      <c r="A601" s="14">
        <v>10847</v>
      </c>
      <c r="B601" s="15" t="s">
        <v>4</v>
      </c>
    </row>
    <row r="602" spans="1:2" x14ac:dyDescent="0.25">
      <c r="A602" s="14">
        <v>10848</v>
      </c>
      <c r="B602" s="15" t="s">
        <v>82</v>
      </c>
    </row>
    <row r="603" spans="1:2" x14ac:dyDescent="0.25">
      <c r="A603" s="14">
        <v>10849</v>
      </c>
      <c r="B603" s="14" t="s">
        <v>6</v>
      </c>
    </row>
    <row r="604" spans="1:2" x14ac:dyDescent="0.25">
      <c r="A604" s="14">
        <v>10850</v>
      </c>
      <c r="B604" s="14" t="s">
        <v>79</v>
      </c>
    </row>
    <row r="605" spans="1:2" x14ac:dyDescent="0.25">
      <c r="A605" s="14">
        <v>10851</v>
      </c>
      <c r="B605" s="14" t="s">
        <v>2</v>
      </c>
    </row>
    <row r="606" spans="1:2" x14ac:dyDescent="0.25">
      <c r="A606" s="14">
        <v>10852</v>
      </c>
      <c r="B606" s="14" t="s">
        <v>80</v>
      </c>
    </row>
    <row r="607" spans="1:2" x14ac:dyDescent="0.25">
      <c r="A607" s="14">
        <v>10853</v>
      </c>
      <c r="B607" s="14" t="s">
        <v>6</v>
      </c>
    </row>
    <row r="608" spans="1:2" x14ac:dyDescent="0.25">
      <c r="A608" s="14">
        <v>10854</v>
      </c>
      <c r="B608" s="14" t="s">
        <v>5</v>
      </c>
    </row>
    <row r="609" spans="1:2" x14ac:dyDescent="0.25">
      <c r="A609" s="14">
        <v>10855</v>
      </c>
      <c r="B609" s="14" t="s">
        <v>5</v>
      </c>
    </row>
    <row r="610" spans="1:2" x14ac:dyDescent="0.25">
      <c r="A610" s="14">
        <v>10856</v>
      </c>
      <c r="B610" s="14" t="s">
        <v>5</v>
      </c>
    </row>
    <row r="611" spans="1:2" x14ac:dyDescent="0.25">
      <c r="A611" s="14">
        <v>10857</v>
      </c>
      <c r="B611" s="14" t="s">
        <v>80</v>
      </c>
    </row>
    <row r="612" spans="1:2" x14ac:dyDescent="0.25">
      <c r="A612" s="14">
        <v>10858</v>
      </c>
      <c r="B612" s="14" t="s">
        <v>81</v>
      </c>
    </row>
    <row r="613" spans="1:2" x14ac:dyDescent="0.25">
      <c r="A613" s="14">
        <v>10859</v>
      </c>
      <c r="B613" s="14" t="s">
        <v>79</v>
      </c>
    </row>
    <row r="614" spans="1:2" x14ac:dyDescent="0.25">
      <c r="A614" s="14">
        <v>10860</v>
      </c>
      <c r="B614" s="14" t="s">
        <v>5</v>
      </c>
    </row>
    <row r="615" spans="1:2" x14ac:dyDescent="0.25">
      <c r="A615" s="14">
        <v>10861</v>
      </c>
      <c r="B615" s="15" t="s">
        <v>4</v>
      </c>
    </row>
    <row r="616" spans="1:2" x14ac:dyDescent="0.25">
      <c r="A616" s="14">
        <v>10862</v>
      </c>
      <c r="B616" s="14" t="s">
        <v>80</v>
      </c>
    </row>
    <row r="617" spans="1:2" x14ac:dyDescent="0.25">
      <c r="A617" s="14">
        <v>10863</v>
      </c>
      <c r="B617" s="15" t="s">
        <v>4</v>
      </c>
    </row>
    <row r="618" spans="1:2" x14ac:dyDescent="0.25">
      <c r="A618" s="14">
        <v>10864</v>
      </c>
      <c r="B618" s="15" t="s">
        <v>4</v>
      </c>
    </row>
    <row r="619" spans="1:2" x14ac:dyDescent="0.25">
      <c r="A619" s="14">
        <v>10865</v>
      </c>
      <c r="B619" s="14" t="s">
        <v>81</v>
      </c>
    </row>
    <row r="620" spans="1:2" x14ac:dyDescent="0.25">
      <c r="A620" s="14">
        <v>10866</v>
      </c>
      <c r="B620" s="14" t="s">
        <v>2</v>
      </c>
    </row>
    <row r="621" spans="1:2" x14ac:dyDescent="0.25">
      <c r="A621" s="14">
        <v>10867</v>
      </c>
      <c r="B621" s="14" t="s">
        <v>3</v>
      </c>
    </row>
    <row r="622" spans="1:2" x14ac:dyDescent="0.25">
      <c r="A622" s="14">
        <v>10868</v>
      </c>
      <c r="B622" s="15" t="s">
        <v>82</v>
      </c>
    </row>
    <row r="623" spans="1:2" x14ac:dyDescent="0.25">
      <c r="A623" s="14">
        <v>10869</v>
      </c>
      <c r="B623" s="14" t="s">
        <v>2</v>
      </c>
    </row>
    <row r="624" spans="1:2" x14ac:dyDescent="0.25">
      <c r="A624" s="14">
        <v>10870</v>
      </c>
      <c r="B624" s="14" t="s">
        <v>2</v>
      </c>
    </row>
    <row r="625" spans="1:2" x14ac:dyDescent="0.25">
      <c r="A625" s="14">
        <v>10871</v>
      </c>
      <c r="B625" s="14" t="s">
        <v>6</v>
      </c>
    </row>
    <row r="626" spans="1:2" x14ac:dyDescent="0.25">
      <c r="A626" s="14">
        <v>10872</v>
      </c>
      <c r="B626" s="14" t="s">
        <v>2</v>
      </c>
    </row>
    <row r="627" spans="1:2" x14ac:dyDescent="0.25">
      <c r="A627" s="14">
        <v>10873</v>
      </c>
      <c r="B627" s="15" t="s">
        <v>4</v>
      </c>
    </row>
    <row r="628" spans="1:2" x14ac:dyDescent="0.25">
      <c r="A628" s="14">
        <v>10874</v>
      </c>
      <c r="B628" s="14" t="s">
        <v>2</v>
      </c>
    </row>
    <row r="629" spans="1:2" x14ac:dyDescent="0.25">
      <c r="A629" s="14">
        <v>10875</v>
      </c>
      <c r="B629" s="15" t="s">
        <v>4</v>
      </c>
    </row>
    <row r="630" spans="1:2" x14ac:dyDescent="0.25">
      <c r="A630" s="14">
        <v>10876</v>
      </c>
      <c r="B630" s="15" t="s">
        <v>82</v>
      </c>
    </row>
    <row r="631" spans="1:2" x14ac:dyDescent="0.25">
      <c r="A631" s="14">
        <v>10877</v>
      </c>
      <c r="B631" s="14" t="s">
        <v>79</v>
      </c>
    </row>
    <row r="632" spans="1:2" x14ac:dyDescent="0.25">
      <c r="A632" s="14">
        <v>10878</v>
      </c>
      <c r="B632" s="15" t="s">
        <v>4</v>
      </c>
    </row>
    <row r="633" spans="1:2" x14ac:dyDescent="0.25">
      <c r="A633" s="14">
        <v>10879</v>
      </c>
      <c r="B633" s="14" t="s">
        <v>5</v>
      </c>
    </row>
    <row r="634" spans="1:2" x14ac:dyDescent="0.25">
      <c r="A634" s="14">
        <v>10880</v>
      </c>
      <c r="B634" s="15" t="s">
        <v>82</v>
      </c>
    </row>
    <row r="635" spans="1:2" x14ac:dyDescent="0.25">
      <c r="A635" s="14">
        <v>10881</v>
      </c>
      <c r="B635" s="15" t="s">
        <v>4</v>
      </c>
    </row>
    <row r="636" spans="1:2" x14ac:dyDescent="0.25">
      <c r="A636" s="14">
        <v>10882</v>
      </c>
      <c r="B636" s="15" t="s">
        <v>4</v>
      </c>
    </row>
    <row r="637" spans="1:2" x14ac:dyDescent="0.25">
      <c r="A637" s="14">
        <v>10883</v>
      </c>
      <c r="B637" s="14" t="s">
        <v>80</v>
      </c>
    </row>
    <row r="638" spans="1:2" x14ac:dyDescent="0.25">
      <c r="A638" s="14">
        <v>10884</v>
      </c>
      <c r="B638" s="15" t="s">
        <v>4</v>
      </c>
    </row>
    <row r="639" spans="1:2" x14ac:dyDescent="0.25">
      <c r="A639" s="14">
        <v>10885</v>
      </c>
      <c r="B639" s="14" t="s">
        <v>3</v>
      </c>
    </row>
    <row r="640" spans="1:2" x14ac:dyDescent="0.25">
      <c r="A640" s="14">
        <v>10886</v>
      </c>
      <c r="B640" s="14" t="s">
        <v>79</v>
      </c>
    </row>
    <row r="641" spans="1:2" x14ac:dyDescent="0.25">
      <c r="A641" s="14">
        <v>10887</v>
      </c>
      <c r="B641" s="14" t="s">
        <v>80</v>
      </c>
    </row>
    <row r="642" spans="1:2" x14ac:dyDescent="0.25">
      <c r="A642" s="14">
        <v>10888</v>
      </c>
      <c r="B642" s="14" t="s">
        <v>79</v>
      </c>
    </row>
    <row r="643" spans="1:2" x14ac:dyDescent="0.25">
      <c r="A643" s="14">
        <v>10889</v>
      </c>
      <c r="B643" s="14" t="s">
        <v>6</v>
      </c>
    </row>
    <row r="644" spans="1:2" x14ac:dyDescent="0.25">
      <c r="A644" s="14">
        <v>10890</v>
      </c>
      <c r="B644" s="15" t="s">
        <v>82</v>
      </c>
    </row>
    <row r="645" spans="1:2" x14ac:dyDescent="0.25">
      <c r="A645" s="14">
        <v>10891</v>
      </c>
      <c r="B645" s="15" t="s">
        <v>82</v>
      </c>
    </row>
    <row r="646" spans="1:2" x14ac:dyDescent="0.25">
      <c r="A646" s="14">
        <v>10892</v>
      </c>
      <c r="B646" s="15" t="s">
        <v>4</v>
      </c>
    </row>
    <row r="647" spans="1:2" x14ac:dyDescent="0.25">
      <c r="A647" s="14">
        <v>10893</v>
      </c>
      <c r="B647" s="14" t="s">
        <v>6</v>
      </c>
    </row>
    <row r="648" spans="1:2" x14ac:dyDescent="0.25">
      <c r="A648" s="14">
        <v>10894</v>
      </c>
      <c r="B648" s="14" t="s">
        <v>79</v>
      </c>
    </row>
    <row r="649" spans="1:2" x14ac:dyDescent="0.25">
      <c r="A649" s="14">
        <v>10895</v>
      </c>
      <c r="B649" s="14" t="s">
        <v>5</v>
      </c>
    </row>
    <row r="650" spans="1:2" x14ac:dyDescent="0.25">
      <c r="A650" s="14">
        <v>10896</v>
      </c>
      <c r="B650" s="15" t="s">
        <v>82</v>
      </c>
    </row>
    <row r="651" spans="1:2" x14ac:dyDescent="0.25">
      <c r="A651" s="14">
        <v>10897</v>
      </c>
      <c r="B651" s="14" t="s">
        <v>5</v>
      </c>
    </row>
    <row r="652" spans="1:2" x14ac:dyDescent="0.25">
      <c r="A652" s="14">
        <v>10898</v>
      </c>
      <c r="B652" s="15" t="s">
        <v>4</v>
      </c>
    </row>
    <row r="653" spans="1:2" x14ac:dyDescent="0.25">
      <c r="A653" s="14">
        <v>10899</v>
      </c>
      <c r="B653" s="14" t="s">
        <v>2</v>
      </c>
    </row>
    <row r="654" spans="1:2" x14ac:dyDescent="0.25">
      <c r="A654" s="14">
        <v>10900</v>
      </c>
      <c r="B654" s="14" t="s">
        <v>79</v>
      </c>
    </row>
    <row r="655" spans="1:2" x14ac:dyDescent="0.25">
      <c r="A655" s="14">
        <v>10901</v>
      </c>
      <c r="B655" s="15" t="s">
        <v>4</v>
      </c>
    </row>
    <row r="656" spans="1:2" x14ac:dyDescent="0.25">
      <c r="A656" s="14">
        <v>10902</v>
      </c>
      <c r="B656" s="14" t="s">
        <v>79</v>
      </c>
    </row>
    <row r="657" spans="1:2" x14ac:dyDescent="0.25">
      <c r="A657" s="14">
        <v>10903</v>
      </c>
      <c r="B657" s="14" t="s">
        <v>5</v>
      </c>
    </row>
    <row r="658" spans="1:2" x14ac:dyDescent="0.25">
      <c r="A658" s="14">
        <v>10904</v>
      </c>
      <c r="B658" s="14" t="s">
        <v>5</v>
      </c>
    </row>
    <row r="659" spans="1:2" x14ac:dyDescent="0.25">
      <c r="A659" s="14">
        <v>10905</v>
      </c>
      <c r="B659" s="14" t="s">
        <v>6</v>
      </c>
    </row>
    <row r="660" spans="1:2" x14ac:dyDescent="0.25">
      <c r="A660" s="14">
        <v>10906</v>
      </c>
      <c r="B660" s="15" t="s">
        <v>4</v>
      </c>
    </row>
    <row r="661" spans="1:2" x14ac:dyDescent="0.25">
      <c r="A661" s="14">
        <v>10907</v>
      </c>
      <c r="B661" s="14" t="s">
        <v>3</v>
      </c>
    </row>
    <row r="662" spans="1:2" x14ac:dyDescent="0.25">
      <c r="A662" s="14">
        <v>10908</v>
      </c>
      <c r="B662" s="15" t="s">
        <v>4</v>
      </c>
    </row>
    <row r="663" spans="1:2" x14ac:dyDescent="0.25">
      <c r="A663" s="14">
        <v>10909</v>
      </c>
      <c r="B663" s="14" t="s">
        <v>79</v>
      </c>
    </row>
    <row r="664" spans="1:2" x14ac:dyDescent="0.25">
      <c r="A664" s="14">
        <v>10910</v>
      </c>
      <c r="B664" s="14" t="s">
        <v>79</v>
      </c>
    </row>
    <row r="665" spans="1:2" x14ac:dyDescent="0.25">
      <c r="A665" s="14">
        <v>10911</v>
      </c>
      <c r="B665" s="14" t="s">
        <v>5</v>
      </c>
    </row>
    <row r="666" spans="1:2" x14ac:dyDescent="0.25">
      <c r="A666" s="14">
        <v>10912</v>
      </c>
      <c r="B666" s="14" t="s">
        <v>81</v>
      </c>
    </row>
    <row r="667" spans="1:2" x14ac:dyDescent="0.25">
      <c r="A667" s="14">
        <v>10913</v>
      </c>
      <c r="B667" s="15" t="s">
        <v>4</v>
      </c>
    </row>
    <row r="668" spans="1:2" x14ac:dyDescent="0.25">
      <c r="A668" s="14">
        <v>10914</v>
      </c>
      <c r="B668" s="14" t="s">
        <v>3</v>
      </c>
    </row>
    <row r="669" spans="1:2" x14ac:dyDescent="0.25">
      <c r="A669" s="14">
        <v>10915</v>
      </c>
      <c r="B669" s="14" t="s">
        <v>81</v>
      </c>
    </row>
    <row r="670" spans="1:2" x14ac:dyDescent="0.25">
      <c r="A670" s="14">
        <v>10916</v>
      </c>
      <c r="B670" s="14" t="s">
        <v>79</v>
      </c>
    </row>
    <row r="671" spans="1:2" x14ac:dyDescent="0.25">
      <c r="A671" s="14">
        <v>10917</v>
      </c>
      <c r="B671" s="15" t="s">
        <v>4</v>
      </c>
    </row>
    <row r="672" spans="1:2" x14ac:dyDescent="0.25">
      <c r="A672" s="14">
        <v>10918</v>
      </c>
      <c r="B672" s="14" t="s">
        <v>5</v>
      </c>
    </row>
    <row r="673" spans="1:2" x14ac:dyDescent="0.25">
      <c r="A673" s="14">
        <v>10919</v>
      </c>
      <c r="B673" s="14" t="s">
        <v>81</v>
      </c>
    </row>
    <row r="674" spans="1:2" x14ac:dyDescent="0.25">
      <c r="A674" s="14">
        <v>10920</v>
      </c>
      <c r="B674" s="15" t="s">
        <v>4</v>
      </c>
    </row>
    <row r="675" spans="1:2" x14ac:dyDescent="0.25">
      <c r="A675" s="14">
        <v>10921</v>
      </c>
      <c r="B675" s="14" t="s">
        <v>79</v>
      </c>
    </row>
    <row r="676" spans="1:2" x14ac:dyDescent="0.25">
      <c r="A676" s="14">
        <v>10922</v>
      </c>
      <c r="B676" s="14" t="s">
        <v>2</v>
      </c>
    </row>
    <row r="677" spans="1:2" x14ac:dyDescent="0.25">
      <c r="A677" s="14">
        <v>10923</v>
      </c>
      <c r="B677" s="15" t="s">
        <v>82</v>
      </c>
    </row>
    <row r="678" spans="1:2" x14ac:dyDescent="0.25">
      <c r="A678" s="14">
        <v>10924</v>
      </c>
      <c r="B678" s="14" t="s">
        <v>5</v>
      </c>
    </row>
    <row r="679" spans="1:2" x14ac:dyDescent="0.25">
      <c r="A679" s="14">
        <v>10925</v>
      </c>
      <c r="B679" s="14" t="s">
        <v>5</v>
      </c>
    </row>
    <row r="680" spans="1:2" x14ac:dyDescent="0.25">
      <c r="A680" s="14">
        <v>10926</v>
      </c>
      <c r="B680" s="15" t="s">
        <v>4</v>
      </c>
    </row>
    <row r="681" spans="1:2" x14ac:dyDescent="0.25">
      <c r="A681" s="14">
        <v>10927</v>
      </c>
      <c r="B681" s="15" t="s">
        <v>4</v>
      </c>
    </row>
    <row r="682" spans="1:2" x14ac:dyDescent="0.25">
      <c r="A682" s="14">
        <v>10928</v>
      </c>
      <c r="B682" s="14" t="s">
        <v>79</v>
      </c>
    </row>
    <row r="683" spans="1:2" x14ac:dyDescent="0.25">
      <c r="A683" s="14">
        <v>10929</v>
      </c>
      <c r="B683" s="14" t="s">
        <v>3</v>
      </c>
    </row>
    <row r="684" spans="1:2" x14ac:dyDescent="0.25">
      <c r="A684" s="14">
        <v>10930</v>
      </c>
      <c r="B684" s="15" t="s">
        <v>4</v>
      </c>
    </row>
    <row r="685" spans="1:2" x14ac:dyDescent="0.25">
      <c r="A685" s="14">
        <v>10931</v>
      </c>
      <c r="B685" s="15" t="s">
        <v>4</v>
      </c>
    </row>
    <row r="686" spans="1:2" x14ac:dyDescent="0.25">
      <c r="A686" s="14">
        <v>10932</v>
      </c>
      <c r="B686" s="14" t="s">
        <v>80</v>
      </c>
    </row>
    <row r="687" spans="1:2" x14ac:dyDescent="0.25">
      <c r="A687" s="14">
        <v>10933</v>
      </c>
      <c r="B687" s="14" t="s">
        <v>3</v>
      </c>
    </row>
    <row r="688" spans="1:2" x14ac:dyDescent="0.25">
      <c r="A688" s="14">
        <v>10934</v>
      </c>
      <c r="B688" s="14" t="s">
        <v>5</v>
      </c>
    </row>
    <row r="689" spans="1:2" x14ac:dyDescent="0.25">
      <c r="A689" s="14">
        <v>10935</v>
      </c>
      <c r="B689" s="15" t="s">
        <v>4</v>
      </c>
    </row>
    <row r="690" spans="1:2" x14ac:dyDescent="0.25">
      <c r="A690" s="14">
        <v>10936</v>
      </c>
      <c r="B690" s="14" t="s">
        <v>5</v>
      </c>
    </row>
    <row r="691" spans="1:2" x14ac:dyDescent="0.25">
      <c r="A691" s="14">
        <v>10937</v>
      </c>
      <c r="B691" s="15" t="s">
        <v>82</v>
      </c>
    </row>
    <row r="692" spans="1:2" x14ac:dyDescent="0.25">
      <c r="A692" s="14">
        <v>10938</v>
      </c>
      <c r="B692" s="14" t="s">
        <v>5</v>
      </c>
    </row>
    <row r="693" spans="1:2" x14ac:dyDescent="0.25">
      <c r="A693" s="14">
        <v>10939</v>
      </c>
      <c r="B693" s="14" t="s">
        <v>81</v>
      </c>
    </row>
    <row r="694" spans="1:2" x14ac:dyDescent="0.25">
      <c r="A694" s="14">
        <v>10940</v>
      </c>
      <c r="B694" s="14" t="s">
        <v>80</v>
      </c>
    </row>
    <row r="695" spans="1:2" x14ac:dyDescent="0.25">
      <c r="A695" s="14">
        <v>10941</v>
      </c>
      <c r="B695" s="15" t="s">
        <v>82</v>
      </c>
    </row>
    <row r="696" spans="1:2" x14ac:dyDescent="0.25">
      <c r="A696" s="14">
        <v>10942</v>
      </c>
      <c r="B696" s="14" t="s">
        <v>6</v>
      </c>
    </row>
    <row r="697" spans="1:2" x14ac:dyDescent="0.25">
      <c r="A697" s="14">
        <v>10943</v>
      </c>
      <c r="B697" s="15" t="s">
        <v>4</v>
      </c>
    </row>
    <row r="698" spans="1:2" x14ac:dyDescent="0.25">
      <c r="A698" s="14">
        <v>10944</v>
      </c>
      <c r="B698" s="14" t="s">
        <v>3</v>
      </c>
    </row>
    <row r="699" spans="1:2" x14ac:dyDescent="0.25">
      <c r="A699" s="14">
        <v>10945</v>
      </c>
      <c r="B699" s="15" t="s">
        <v>4</v>
      </c>
    </row>
    <row r="700" spans="1:2" x14ac:dyDescent="0.25">
      <c r="A700" s="14">
        <v>10946</v>
      </c>
      <c r="B700" s="14" t="s">
        <v>79</v>
      </c>
    </row>
    <row r="701" spans="1:2" x14ac:dyDescent="0.25">
      <c r="A701" s="14">
        <v>10947</v>
      </c>
      <c r="B701" s="14" t="s">
        <v>5</v>
      </c>
    </row>
    <row r="702" spans="1:2" x14ac:dyDescent="0.25">
      <c r="A702" s="14">
        <v>10948</v>
      </c>
      <c r="B702" s="14" t="s">
        <v>5</v>
      </c>
    </row>
    <row r="703" spans="1:2" x14ac:dyDescent="0.25">
      <c r="A703" s="14">
        <v>10949</v>
      </c>
      <c r="B703" s="14" t="s">
        <v>81</v>
      </c>
    </row>
    <row r="704" spans="1:2" x14ac:dyDescent="0.25">
      <c r="A704" s="14">
        <v>10950</v>
      </c>
      <c r="B704" s="14" t="s">
        <v>79</v>
      </c>
    </row>
    <row r="705" spans="1:2" x14ac:dyDescent="0.25">
      <c r="A705" s="14">
        <v>10951</v>
      </c>
      <c r="B705" s="14" t="s">
        <v>6</v>
      </c>
    </row>
    <row r="706" spans="1:2" x14ac:dyDescent="0.25">
      <c r="A706" s="14">
        <v>10952</v>
      </c>
      <c r="B706" s="14" t="s">
        <v>79</v>
      </c>
    </row>
    <row r="707" spans="1:2" x14ac:dyDescent="0.25">
      <c r="A707" s="14">
        <v>10953</v>
      </c>
      <c r="B707" s="14" t="s">
        <v>6</v>
      </c>
    </row>
    <row r="708" spans="1:2" x14ac:dyDescent="0.25">
      <c r="A708" s="14">
        <v>10954</v>
      </c>
      <c r="B708" s="14" t="s">
        <v>2</v>
      </c>
    </row>
    <row r="709" spans="1:2" x14ac:dyDescent="0.25">
      <c r="A709" s="14">
        <v>10955</v>
      </c>
      <c r="B709" s="14" t="s">
        <v>80</v>
      </c>
    </row>
    <row r="710" spans="1:2" x14ac:dyDescent="0.25">
      <c r="A710" s="14">
        <v>10956</v>
      </c>
      <c r="B710" s="14" t="s">
        <v>3</v>
      </c>
    </row>
    <row r="711" spans="1:2" x14ac:dyDescent="0.25">
      <c r="A711" s="14">
        <v>10957</v>
      </c>
      <c r="B711" s="14" t="s">
        <v>80</v>
      </c>
    </row>
    <row r="712" spans="1:2" x14ac:dyDescent="0.25">
      <c r="A712" s="14">
        <v>10958</v>
      </c>
      <c r="B712" s="15" t="s">
        <v>82</v>
      </c>
    </row>
    <row r="713" spans="1:2" x14ac:dyDescent="0.25">
      <c r="A713" s="14">
        <v>10959</v>
      </c>
      <c r="B713" s="14" t="s">
        <v>3</v>
      </c>
    </row>
    <row r="714" spans="1:2" x14ac:dyDescent="0.25">
      <c r="A714" s="14">
        <v>10960</v>
      </c>
      <c r="B714" s="14" t="s">
        <v>5</v>
      </c>
    </row>
    <row r="715" spans="1:2" x14ac:dyDescent="0.25">
      <c r="A715" s="14">
        <v>10961</v>
      </c>
      <c r="B715" s="14" t="s">
        <v>80</v>
      </c>
    </row>
    <row r="716" spans="1:2" x14ac:dyDescent="0.25">
      <c r="A716" s="14">
        <v>10962</v>
      </c>
      <c r="B716" s="14" t="s">
        <v>80</v>
      </c>
    </row>
    <row r="717" spans="1:2" x14ac:dyDescent="0.25">
      <c r="A717" s="14">
        <v>10963</v>
      </c>
      <c r="B717" s="14" t="s">
        <v>6</v>
      </c>
    </row>
    <row r="718" spans="1:2" x14ac:dyDescent="0.25">
      <c r="A718" s="14">
        <v>10964</v>
      </c>
      <c r="B718" s="14" t="s">
        <v>5</v>
      </c>
    </row>
    <row r="719" spans="1:2" x14ac:dyDescent="0.25">
      <c r="A719" s="14">
        <v>10965</v>
      </c>
      <c r="B719" s="14" t="s">
        <v>3</v>
      </c>
    </row>
    <row r="720" spans="1:2" x14ac:dyDescent="0.25">
      <c r="A720" s="14">
        <v>10966</v>
      </c>
      <c r="B720" s="15" t="s">
        <v>4</v>
      </c>
    </row>
    <row r="721" spans="1:2" x14ac:dyDescent="0.25">
      <c r="A721" s="14">
        <v>10967</v>
      </c>
      <c r="B721" s="14" t="s">
        <v>81</v>
      </c>
    </row>
    <row r="722" spans="1:2" x14ac:dyDescent="0.25">
      <c r="A722" s="14">
        <v>10968</v>
      </c>
      <c r="B722" s="14" t="s">
        <v>79</v>
      </c>
    </row>
    <row r="723" spans="1:2" x14ac:dyDescent="0.25">
      <c r="A723" s="14">
        <v>10969</v>
      </c>
      <c r="B723" s="14" t="s">
        <v>79</v>
      </c>
    </row>
    <row r="724" spans="1:2" x14ac:dyDescent="0.25">
      <c r="A724" s="14">
        <v>10970</v>
      </c>
      <c r="B724" s="14" t="s">
        <v>6</v>
      </c>
    </row>
    <row r="725" spans="1:2" x14ac:dyDescent="0.25">
      <c r="A725" s="14">
        <v>10971</v>
      </c>
      <c r="B725" s="14" t="s">
        <v>81</v>
      </c>
    </row>
    <row r="726" spans="1:2" x14ac:dyDescent="0.25">
      <c r="A726" s="14">
        <v>10972</v>
      </c>
      <c r="B726" s="15" t="s">
        <v>4</v>
      </c>
    </row>
    <row r="727" spans="1:2" x14ac:dyDescent="0.25">
      <c r="A727" s="14">
        <v>10973</v>
      </c>
      <c r="B727" s="14" t="s">
        <v>3</v>
      </c>
    </row>
    <row r="728" spans="1:2" x14ac:dyDescent="0.25">
      <c r="A728" s="14">
        <v>10974</v>
      </c>
      <c r="B728" s="14" t="s">
        <v>5</v>
      </c>
    </row>
    <row r="729" spans="1:2" x14ac:dyDescent="0.25">
      <c r="A729" s="14">
        <v>10975</v>
      </c>
      <c r="B729" s="14" t="s">
        <v>79</v>
      </c>
    </row>
    <row r="730" spans="1:2" x14ac:dyDescent="0.25">
      <c r="A730" s="14">
        <v>10976</v>
      </c>
      <c r="B730" s="14" t="s">
        <v>79</v>
      </c>
    </row>
    <row r="731" spans="1:2" x14ac:dyDescent="0.25">
      <c r="A731" s="14">
        <v>10977</v>
      </c>
      <c r="B731" s="14" t="s">
        <v>80</v>
      </c>
    </row>
    <row r="732" spans="1:2" x14ac:dyDescent="0.25">
      <c r="A732" s="14">
        <v>10978</v>
      </c>
      <c r="B732" s="14" t="s">
        <v>6</v>
      </c>
    </row>
    <row r="733" spans="1:2" x14ac:dyDescent="0.25">
      <c r="A733" s="14">
        <v>10979</v>
      </c>
      <c r="B733" s="14" t="s">
        <v>80</v>
      </c>
    </row>
    <row r="734" spans="1:2" x14ac:dyDescent="0.25">
      <c r="A734" s="14">
        <v>10980</v>
      </c>
      <c r="B734" s="15" t="s">
        <v>4</v>
      </c>
    </row>
    <row r="735" spans="1:2" x14ac:dyDescent="0.25">
      <c r="A735" s="14">
        <v>10981</v>
      </c>
      <c r="B735" s="14" t="s">
        <v>79</v>
      </c>
    </row>
    <row r="736" spans="1:2" x14ac:dyDescent="0.25">
      <c r="A736" s="14">
        <v>10982</v>
      </c>
      <c r="B736" s="14" t="s">
        <v>81</v>
      </c>
    </row>
    <row r="737" spans="1:2" x14ac:dyDescent="0.25">
      <c r="A737" s="14">
        <v>10983</v>
      </c>
      <c r="B737" s="14" t="s">
        <v>81</v>
      </c>
    </row>
    <row r="738" spans="1:2" x14ac:dyDescent="0.25">
      <c r="A738" s="14">
        <v>10984</v>
      </c>
      <c r="B738" s="14" t="s">
        <v>79</v>
      </c>
    </row>
    <row r="739" spans="1:2" x14ac:dyDescent="0.25">
      <c r="A739" s="14">
        <v>10985</v>
      </c>
      <c r="B739" s="14" t="s">
        <v>81</v>
      </c>
    </row>
    <row r="740" spans="1:2" x14ac:dyDescent="0.25">
      <c r="A740" s="14">
        <v>10986</v>
      </c>
      <c r="B740" s="14" t="s">
        <v>80</v>
      </c>
    </row>
    <row r="741" spans="1:2" x14ac:dyDescent="0.25">
      <c r="A741" s="14">
        <v>10987</v>
      </c>
      <c r="B741" s="14" t="s">
        <v>80</v>
      </c>
    </row>
    <row r="742" spans="1:2" x14ac:dyDescent="0.25">
      <c r="A742" s="14">
        <v>10988</v>
      </c>
      <c r="B742" s="14" t="s">
        <v>5</v>
      </c>
    </row>
    <row r="743" spans="1:2" x14ac:dyDescent="0.25">
      <c r="A743" s="14">
        <v>10989</v>
      </c>
      <c r="B743" s="14" t="s">
        <v>81</v>
      </c>
    </row>
    <row r="744" spans="1:2" x14ac:dyDescent="0.25">
      <c r="A744" s="14">
        <v>10990</v>
      </c>
      <c r="B744" s="14" t="s">
        <v>81</v>
      </c>
    </row>
    <row r="745" spans="1:2" x14ac:dyDescent="0.25">
      <c r="A745" s="14">
        <v>10991</v>
      </c>
      <c r="B745" s="14" t="s">
        <v>79</v>
      </c>
    </row>
    <row r="746" spans="1:2" x14ac:dyDescent="0.25">
      <c r="A746" s="14">
        <v>10992</v>
      </c>
      <c r="B746" s="14" t="s">
        <v>79</v>
      </c>
    </row>
    <row r="747" spans="1:2" x14ac:dyDescent="0.25">
      <c r="A747" s="14">
        <v>10993</v>
      </c>
      <c r="B747" s="15" t="s">
        <v>82</v>
      </c>
    </row>
    <row r="748" spans="1:2" x14ac:dyDescent="0.25">
      <c r="A748" s="14">
        <v>10994</v>
      </c>
      <c r="B748" s="14" t="s">
        <v>81</v>
      </c>
    </row>
    <row r="749" spans="1:2" x14ac:dyDescent="0.25">
      <c r="A749" s="14">
        <v>10995</v>
      </c>
      <c r="B749" s="14" t="s">
        <v>79</v>
      </c>
    </row>
    <row r="750" spans="1:2" x14ac:dyDescent="0.25">
      <c r="A750" s="14">
        <v>10996</v>
      </c>
      <c r="B750" s="15" t="s">
        <v>4</v>
      </c>
    </row>
    <row r="751" spans="1:2" x14ac:dyDescent="0.25">
      <c r="A751" s="14">
        <v>10997</v>
      </c>
      <c r="B751" s="14" t="s">
        <v>80</v>
      </c>
    </row>
    <row r="752" spans="1:2" x14ac:dyDescent="0.25">
      <c r="A752" s="14">
        <v>10998</v>
      </c>
      <c r="B752" s="14" t="s">
        <v>80</v>
      </c>
    </row>
    <row r="753" spans="1:2" x14ac:dyDescent="0.25">
      <c r="A753" s="14">
        <v>10999</v>
      </c>
      <c r="B753" s="14" t="s">
        <v>3</v>
      </c>
    </row>
    <row r="754" spans="1:2" x14ac:dyDescent="0.25">
      <c r="A754" s="14">
        <v>11000</v>
      </c>
      <c r="B754" s="14" t="s">
        <v>81</v>
      </c>
    </row>
    <row r="755" spans="1:2" x14ac:dyDescent="0.25">
      <c r="A755" s="14">
        <v>11001</v>
      </c>
      <c r="B755" s="14" t="s">
        <v>81</v>
      </c>
    </row>
    <row r="756" spans="1:2" x14ac:dyDescent="0.25">
      <c r="A756" s="14">
        <v>11002</v>
      </c>
      <c r="B756" s="15" t="s">
        <v>4</v>
      </c>
    </row>
    <row r="757" spans="1:2" x14ac:dyDescent="0.25">
      <c r="A757" s="14">
        <v>11003</v>
      </c>
      <c r="B757" s="14" t="s">
        <v>5</v>
      </c>
    </row>
    <row r="758" spans="1:2" x14ac:dyDescent="0.25">
      <c r="A758" s="14">
        <v>11004</v>
      </c>
      <c r="B758" s="14" t="s">
        <v>5</v>
      </c>
    </row>
    <row r="759" spans="1:2" x14ac:dyDescent="0.25">
      <c r="A759" s="14">
        <v>11005</v>
      </c>
      <c r="B759" s="14" t="s">
        <v>81</v>
      </c>
    </row>
    <row r="760" spans="1:2" x14ac:dyDescent="0.25">
      <c r="A760" s="14">
        <v>11006</v>
      </c>
      <c r="B760" s="14" t="s">
        <v>5</v>
      </c>
    </row>
    <row r="761" spans="1:2" x14ac:dyDescent="0.25">
      <c r="A761" s="14">
        <v>11007</v>
      </c>
      <c r="B761" s="14" t="s">
        <v>80</v>
      </c>
    </row>
    <row r="762" spans="1:2" x14ac:dyDescent="0.25">
      <c r="A762" s="14">
        <v>11009</v>
      </c>
      <c r="B762" s="14" t="s">
        <v>81</v>
      </c>
    </row>
    <row r="763" spans="1:2" x14ac:dyDescent="0.25">
      <c r="A763" s="14">
        <v>11010</v>
      </c>
      <c r="B763" s="14" t="s">
        <v>81</v>
      </c>
    </row>
    <row r="764" spans="1:2" x14ac:dyDescent="0.25">
      <c r="A764" s="14">
        <v>11011</v>
      </c>
      <c r="B764" s="14" t="s">
        <v>5</v>
      </c>
    </row>
    <row r="765" spans="1:2" x14ac:dyDescent="0.25">
      <c r="A765" s="14">
        <v>11012</v>
      </c>
      <c r="B765" s="14" t="s">
        <v>79</v>
      </c>
    </row>
    <row r="766" spans="1:2" x14ac:dyDescent="0.25">
      <c r="A766" s="14">
        <v>11013</v>
      </c>
      <c r="B766" s="14" t="s">
        <v>81</v>
      </c>
    </row>
    <row r="767" spans="1:2" x14ac:dyDescent="0.25">
      <c r="A767" s="14">
        <v>11014</v>
      </c>
      <c r="B767" s="14" t="s">
        <v>81</v>
      </c>
    </row>
    <row r="768" spans="1:2" x14ac:dyDescent="0.25">
      <c r="A768" s="14">
        <v>11015</v>
      </c>
      <c r="B768" s="14" t="s">
        <v>81</v>
      </c>
    </row>
    <row r="769" spans="1:2" x14ac:dyDescent="0.25">
      <c r="A769" s="14">
        <v>11016</v>
      </c>
      <c r="B769" s="14" t="s">
        <v>6</v>
      </c>
    </row>
    <row r="770" spans="1:2" x14ac:dyDescent="0.25">
      <c r="A770" s="14">
        <v>11017</v>
      </c>
      <c r="B770" s="14" t="s">
        <v>6</v>
      </c>
    </row>
    <row r="771" spans="1:2" x14ac:dyDescent="0.25">
      <c r="A771" s="14">
        <v>11018</v>
      </c>
      <c r="B771" s="15" t="s">
        <v>4</v>
      </c>
    </row>
    <row r="772" spans="1:2" x14ac:dyDescent="0.25">
      <c r="A772" s="14">
        <v>11020</v>
      </c>
      <c r="B772" s="14" t="s">
        <v>81</v>
      </c>
    </row>
    <row r="773" spans="1:2" x14ac:dyDescent="0.25">
      <c r="A773" s="14">
        <v>11021</v>
      </c>
      <c r="B773" s="14" t="s">
        <v>5</v>
      </c>
    </row>
    <row r="774" spans="1:2" x14ac:dyDescent="0.25">
      <c r="A774" s="14">
        <v>11023</v>
      </c>
      <c r="B774" s="14" t="s">
        <v>79</v>
      </c>
    </row>
    <row r="775" spans="1:2" x14ac:dyDescent="0.25">
      <c r="A775" s="14">
        <v>11024</v>
      </c>
      <c r="B775" s="15" t="s">
        <v>4</v>
      </c>
    </row>
    <row r="776" spans="1:2" x14ac:dyDescent="0.25">
      <c r="A776" s="14">
        <v>11025</v>
      </c>
      <c r="B776" s="14" t="s">
        <v>3</v>
      </c>
    </row>
    <row r="777" spans="1:2" x14ac:dyDescent="0.25">
      <c r="A777" s="14">
        <v>11026</v>
      </c>
      <c r="B777" s="15" t="s">
        <v>4</v>
      </c>
    </row>
    <row r="778" spans="1:2" x14ac:dyDescent="0.25">
      <c r="A778" s="14">
        <v>11027</v>
      </c>
      <c r="B778" s="14" t="s">
        <v>79</v>
      </c>
    </row>
    <row r="779" spans="1:2" x14ac:dyDescent="0.25">
      <c r="A779" s="14">
        <v>11028</v>
      </c>
      <c r="B779" s="14" t="s">
        <v>81</v>
      </c>
    </row>
    <row r="780" spans="1:2" x14ac:dyDescent="0.25">
      <c r="A780" s="14">
        <v>11029</v>
      </c>
      <c r="B780" s="15" t="s">
        <v>4</v>
      </c>
    </row>
    <row r="781" spans="1:2" x14ac:dyDescent="0.25">
      <c r="A781" s="14">
        <v>11030</v>
      </c>
      <c r="B781" s="15" t="s">
        <v>82</v>
      </c>
    </row>
    <row r="782" spans="1:2" x14ac:dyDescent="0.25">
      <c r="A782" s="14">
        <v>11031</v>
      </c>
      <c r="B782" s="14" t="s">
        <v>3</v>
      </c>
    </row>
    <row r="783" spans="1:2" x14ac:dyDescent="0.25">
      <c r="A783" s="14">
        <v>11032</v>
      </c>
      <c r="B783" s="14" t="s">
        <v>81</v>
      </c>
    </row>
    <row r="784" spans="1:2" x14ac:dyDescent="0.25">
      <c r="A784" s="14">
        <v>11033</v>
      </c>
      <c r="B784" s="15" t="s">
        <v>82</v>
      </c>
    </row>
    <row r="785" spans="1:2" x14ac:dyDescent="0.25">
      <c r="A785" s="14">
        <v>11034</v>
      </c>
      <c r="B785" s="14" t="s">
        <v>80</v>
      </c>
    </row>
    <row r="786" spans="1:2" x14ac:dyDescent="0.25">
      <c r="A786" s="14">
        <v>11035</v>
      </c>
      <c r="B786" s="14" t="s">
        <v>81</v>
      </c>
    </row>
    <row r="787" spans="1:2" x14ac:dyDescent="0.25">
      <c r="A787" s="14">
        <v>11036</v>
      </c>
      <c r="B787" s="14" t="s">
        <v>80</v>
      </c>
    </row>
    <row r="788" spans="1:2" x14ac:dyDescent="0.25">
      <c r="A788" s="14">
        <v>11037</v>
      </c>
      <c r="B788" s="15" t="s">
        <v>82</v>
      </c>
    </row>
    <row r="789" spans="1:2" x14ac:dyDescent="0.25">
      <c r="A789" s="14">
        <v>11038</v>
      </c>
      <c r="B789" s="14" t="s">
        <v>79</v>
      </c>
    </row>
    <row r="790" spans="1:2" x14ac:dyDescent="0.25">
      <c r="A790" s="14">
        <v>11041</v>
      </c>
      <c r="B790" s="14" t="s">
        <v>5</v>
      </c>
    </row>
    <row r="791" spans="1:2" x14ac:dyDescent="0.25">
      <c r="A791" s="14">
        <v>11042</v>
      </c>
      <c r="B791" s="14" t="s">
        <v>81</v>
      </c>
    </row>
    <row r="792" spans="1:2" x14ac:dyDescent="0.25">
      <c r="A792" s="14">
        <v>11043</v>
      </c>
      <c r="B792" s="14" t="s">
        <v>2</v>
      </c>
    </row>
    <row r="793" spans="1:2" x14ac:dyDescent="0.25">
      <c r="A793" s="14">
        <v>11044</v>
      </c>
      <c r="B793" s="15" t="s">
        <v>4</v>
      </c>
    </row>
    <row r="794" spans="1:2" x14ac:dyDescent="0.25">
      <c r="A794" s="14">
        <v>11046</v>
      </c>
      <c r="B794" s="14" t="s">
        <v>80</v>
      </c>
    </row>
    <row r="795" spans="1:2" x14ac:dyDescent="0.25">
      <c r="A795" s="14">
        <v>11047</v>
      </c>
      <c r="B795" s="15" t="s">
        <v>82</v>
      </c>
    </row>
    <row r="796" spans="1:2" x14ac:dyDescent="0.25">
      <c r="A796" s="14">
        <v>11048</v>
      </c>
      <c r="B796" s="15" t="s">
        <v>82</v>
      </c>
    </row>
    <row r="797" spans="1:2" x14ac:dyDescent="0.25">
      <c r="A797" s="14">
        <v>11052</v>
      </c>
      <c r="B797" s="14" t="s">
        <v>5</v>
      </c>
    </row>
    <row r="798" spans="1:2" x14ac:dyDescent="0.25">
      <c r="A798" s="14">
        <v>11053</v>
      </c>
      <c r="B798" s="14" t="s">
        <v>81</v>
      </c>
    </row>
    <row r="799" spans="1:2" x14ac:dyDescent="0.25">
      <c r="A799" s="14">
        <v>11056</v>
      </c>
      <c r="B799" s="14" t="s">
        <v>80</v>
      </c>
    </row>
    <row r="800" spans="1:2" x14ac:dyDescent="0.25">
      <c r="A800" s="14">
        <v>11057</v>
      </c>
      <c r="B800" s="14"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9D0-25A8-436D-913D-42F4F508E6F3}">
  <dimension ref="A1:B800"/>
  <sheetViews>
    <sheetView workbookViewId="0">
      <selection activeCell="H15" sqref="H15"/>
    </sheetView>
  </sheetViews>
  <sheetFormatPr defaultRowHeight="15" x14ac:dyDescent="0.25"/>
  <sheetData>
    <row r="1" spans="1:2" x14ac:dyDescent="0.25">
      <c r="A1" s="4" t="s">
        <v>0</v>
      </c>
      <c r="B1" s="10" t="s">
        <v>76</v>
      </c>
    </row>
    <row r="2" spans="1:2" x14ac:dyDescent="0.25">
      <c r="A2" s="14">
        <v>11057</v>
      </c>
      <c r="B2" s="16">
        <v>38473</v>
      </c>
    </row>
    <row r="3" spans="1:2" x14ac:dyDescent="0.25">
      <c r="A3" s="14">
        <v>11056</v>
      </c>
      <c r="B3" s="16">
        <v>38473</v>
      </c>
    </row>
    <row r="4" spans="1:2" x14ac:dyDescent="0.25">
      <c r="A4" s="14">
        <v>11053</v>
      </c>
      <c r="B4" s="16">
        <v>38471</v>
      </c>
    </row>
    <row r="5" spans="1:2" x14ac:dyDescent="0.25">
      <c r="A5" s="14">
        <v>11052</v>
      </c>
      <c r="B5" s="16">
        <v>38473</v>
      </c>
    </row>
    <row r="6" spans="1:2" x14ac:dyDescent="0.25">
      <c r="A6" s="14">
        <v>11048</v>
      </c>
      <c r="B6" s="16">
        <v>38472</v>
      </c>
    </row>
    <row r="7" spans="1:2" x14ac:dyDescent="0.25">
      <c r="A7" s="14">
        <v>11047</v>
      </c>
      <c r="B7" s="16">
        <v>38473</v>
      </c>
    </row>
    <row r="8" spans="1:2" x14ac:dyDescent="0.25">
      <c r="A8" s="14">
        <v>11046</v>
      </c>
      <c r="B8" s="16">
        <v>38466</v>
      </c>
    </row>
    <row r="9" spans="1:2" x14ac:dyDescent="0.25">
      <c r="A9" s="14">
        <v>11044</v>
      </c>
      <c r="B9" s="16">
        <v>38473</v>
      </c>
    </row>
    <row r="10" spans="1:2" x14ac:dyDescent="0.25">
      <c r="A10" s="14">
        <v>11043</v>
      </c>
      <c r="B10" s="16">
        <v>38471</v>
      </c>
    </row>
    <row r="11" spans="1:2" x14ac:dyDescent="0.25">
      <c r="A11" s="14">
        <v>11042</v>
      </c>
      <c r="B11" s="16">
        <v>38473</v>
      </c>
    </row>
    <row r="12" spans="1:2" x14ac:dyDescent="0.25">
      <c r="A12" s="14">
        <v>11041</v>
      </c>
      <c r="B12" s="16">
        <v>38470</v>
      </c>
    </row>
    <row r="13" spans="1:2" x14ac:dyDescent="0.25">
      <c r="A13" s="14">
        <v>11038</v>
      </c>
      <c r="B13" s="16">
        <v>38472</v>
      </c>
    </row>
    <row r="14" spans="1:2" x14ac:dyDescent="0.25">
      <c r="A14" s="14">
        <v>11037</v>
      </c>
      <c r="B14" s="16">
        <v>38469</v>
      </c>
    </row>
    <row r="15" spans="1:2" x14ac:dyDescent="0.25">
      <c r="A15" s="14">
        <v>11036</v>
      </c>
      <c r="B15" s="16">
        <v>38464</v>
      </c>
    </row>
    <row r="16" spans="1:2" x14ac:dyDescent="0.25">
      <c r="A16" s="14">
        <v>11035</v>
      </c>
      <c r="B16" s="16">
        <v>38466</v>
      </c>
    </row>
    <row r="17" spans="1:2" x14ac:dyDescent="0.25">
      <c r="A17" s="14">
        <v>11034</v>
      </c>
      <c r="B17" s="16">
        <v>38469</v>
      </c>
    </row>
    <row r="18" spans="1:2" x14ac:dyDescent="0.25">
      <c r="A18" s="14">
        <v>11033</v>
      </c>
      <c r="B18" s="16">
        <v>38465</v>
      </c>
    </row>
    <row r="19" spans="1:2" x14ac:dyDescent="0.25">
      <c r="A19" s="14">
        <v>11032</v>
      </c>
      <c r="B19" s="16">
        <v>38465</v>
      </c>
    </row>
    <row r="20" spans="1:2" x14ac:dyDescent="0.25">
      <c r="A20" s="14">
        <v>11031</v>
      </c>
      <c r="B20" s="16">
        <v>38466</v>
      </c>
    </row>
    <row r="21" spans="1:2" x14ac:dyDescent="0.25">
      <c r="A21" s="14">
        <v>11030</v>
      </c>
      <c r="B21" s="16">
        <v>38469</v>
      </c>
    </row>
    <row r="22" spans="1:2" x14ac:dyDescent="0.25">
      <c r="A22" s="14">
        <v>11029</v>
      </c>
      <c r="B22" s="16">
        <v>38469</v>
      </c>
    </row>
    <row r="23" spans="1:2" x14ac:dyDescent="0.25">
      <c r="A23" s="14">
        <v>11028</v>
      </c>
      <c r="B23" s="16">
        <v>38464</v>
      </c>
    </row>
    <row r="24" spans="1:2" x14ac:dyDescent="0.25">
      <c r="A24" s="14">
        <v>11027</v>
      </c>
      <c r="B24" s="16">
        <v>38462</v>
      </c>
    </row>
    <row r="25" spans="1:2" x14ac:dyDescent="0.25">
      <c r="A25" s="14">
        <v>11026</v>
      </c>
      <c r="B25" s="16">
        <v>38470</v>
      </c>
    </row>
    <row r="26" spans="1:2" x14ac:dyDescent="0.25">
      <c r="A26" s="14">
        <v>11025</v>
      </c>
      <c r="B26" s="16">
        <v>38466</v>
      </c>
    </row>
    <row r="27" spans="1:2" x14ac:dyDescent="0.25">
      <c r="A27" s="14">
        <v>11024</v>
      </c>
      <c r="B27" s="16">
        <v>38462</v>
      </c>
    </row>
    <row r="28" spans="1:2" x14ac:dyDescent="0.25">
      <c r="A28" s="14">
        <v>11023</v>
      </c>
      <c r="B28" s="16">
        <v>38466</v>
      </c>
    </row>
    <row r="29" spans="1:2" x14ac:dyDescent="0.25">
      <c r="A29" s="14">
        <v>11021</v>
      </c>
      <c r="B29" s="16">
        <v>38463</v>
      </c>
    </row>
    <row r="30" spans="1:2" x14ac:dyDescent="0.25">
      <c r="A30" s="14">
        <v>11020</v>
      </c>
      <c r="B30" s="16">
        <v>38458</v>
      </c>
    </row>
    <row r="31" spans="1:2" x14ac:dyDescent="0.25">
      <c r="A31" s="14">
        <v>11018</v>
      </c>
      <c r="B31" s="16">
        <v>38458</v>
      </c>
    </row>
    <row r="32" spans="1:2" x14ac:dyDescent="0.25">
      <c r="A32" s="14">
        <v>11017</v>
      </c>
      <c r="B32" s="16">
        <v>38462</v>
      </c>
    </row>
    <row r="33" spans="1:2" x14ac:dyDescent="0.25">
      <c r="A33" s="14">
        <v>11016</v>
      </c>
      <c r="B33" s="16">
        <v>38455</v>
      </c>
    </row>
    <row r="34" spans="1:2" x14ac:dyDescent="0.25">
      <c r="A34" s="14">
        <v>11015</v>
      </c>
      <c r="B34" s="16">
        <v>38462</v>
      </c>
    </row>
    <row r="35" spans="1:2" x14ac:dyDescent="0.25">
      <c r="A35" s="14">
        <v>11014</v>
      </c>
      <c r="B35" s="16">
        <v>38457</v>
      </c>
    </row>
    <row r="36" spans="1:2" x14ac:dyDescent="0.25">
      <c r="A36" s="14">
        <v>11013</v>
      </c>
      <c r="B36" s="16">
        <v>38452</v>
      </c>
    </row>
    <row r="37" spans="1:2" x14ac:dyDescent="0.25">
      <c r="A37" s="14">
        <v>11012</v>
      </c>
      <c r="B37" s="16">
        <v>38459</v>
      </c>
    </row>
    <row r="38" spans="1:2" x14ac:dyDescent="0.25">
      <c r="A38" s="14">
        <v>11011</v>
      </c>
      <c r="B38" s="16">
        <v>38455</v>
      </c>
    </row>
    <row r="39" spans="1:2" x14ac:dyDescent="0.25">
      <c r="A39" s="14">
        <v>11010</v>
      </c>
      <c r="B39" s="16">
        <v>38463</v>
      </c>
    </row>
    <row r="40" spans="1:2" x14ac:dyDescent="0.25">
      <c r="A40" s="14">
        <v>11009</v>
      </c>
      <c r="B40" s="16">
        <v>38452</v>
      </c>
    </row>
    <row r="41" spans="1:2" x14ac:dyDescent="0.25">
      <c r="A41" s="14">
        <v>11007</v>
      </c>
      <c r="B41" s="16">
        <v>38455</v>
      </c>
    </row>
    <row r="42" spans="1:2" x14ac:dyDescent="0.25">
      <c r="A42" s="14">
        <v>11006</v>
      </c>
      <c r="B42" s="16">
        <v>38457</v>
      </c>
    </row>
    <row r="43" spans="1:2" x14ac:dyDescent="0.25">
      <c r="A43" s="14">
        <v>11005</v>
      </c>
      <c r="B43" s="16">
        <v>38452</v>
      </c>
    </row>
    <row r="44" spans="1:2" x14ac:dyDescent="0.25">
      <c r="A44" s="14">
        <v>11004</v>
      </c>
      <c r="B44" s="16">
        <v>38462</v>
      </c>
    </row>
    <row r="45" spans="1:2" x14ac:dyDescent="0.25">
      <c r="A45" s="14">
        <v>11003</v>
      </c>
      <c r="B45" s="16">
        <v>38450</v>
      </c>
    </row>
    <row r="46" spans="1:2" x14ac:dyDescent="0.25">
      <c r="A46" s="14">
        <v>11002</v>
      </c>
      <c r="B46" s="16">
        <v>38458</v>
      </c>
    </row>
    <row r="47" spans="1:2" x14ac:dyDescent="0.25">
      <c r="A47" s="14">
        <v>11001</v>
      </c>
      <c r="B47" s="16">
        <v>38456</v>
      </c>
    </row>
    <row r="48" spans="1:2" x14ac:dyDescent="0.25">
      <c r="A48" s="14">
        <v>11000</v>
      </c>
      <c r="B48" s="16">
        <v>38456</v>
      </c>
    </row>
    <row r="49" spans="1:2" x14ac:dyDescent="0.25">
      <c r="A49" s="14">
        <v>10999</v>
      </c>
      <c r="B49" s="16">
        <v>38452</v>
      </c>
    </row>
    <row r="50" spans="1:2" x14ac:dyDescent="0.25">
      <c r="A50" s="14">
        <v>10998</v>
      </c>
      <c r="B50" s="16">
        <v>38459</v>
      </c>
    </row>
    <row r="51" spans="1:2" x14ac:dyDescent="0.25">
      <c r="A51" s="14">
        <v>10997</v>
      </c>
      <c r="B51" s="16">
        <v>38455</v>
      </c>
    </row>
    <row r="52" spans="1:2" x14ac:dyDescent="0.25">
      <c r="A52" s="14">
        <v>10996</v>
      </c>
      <c r="B52" s="16">
        <v>38452</v>
      </c>
    </row>
    <row r="53" spans="1:2" x14ac:dyDescent="0.25">
      <c r="A53" s="14">
        <v>10995</v>
      </c>
      <c r="B53" s="16">
        <v>38448</v>
      </c>
    </row>
    <row r="54" spans="1:2" x14ac:dyDescent="0.25">
      <c r="A54" s="14">
        <v>10994</v>
      </c>
      <c r="B54" s="16">
        <v>38451</v>
      </c>
    </row>
    <row r="55" spans="1:2" x14ac:dyDescent="0.25">
      <c r="A55" s="14">
        <v>10993</v>
      </c>
      <c r="B55" s="16">
        <v>38452</v>
      </c>
    </row>
    <row r="56" spans="1:2" x14ac:dyDescent="0.25">
      <c r="A56" s="14">
        <v>10992</v>
      </c>
      <c r="B56" s="16">
        <v>38445</v>
      </c>
    </row>
    <row r="57" spans="1:2" x14ac:dyDescent="0.25">
      <c r="A57" s="14">
        <v>10991</v>
      </c>
      <c r="B57" s="16">
        <v>38449</v>
      </c>
    </row>
    <row r="58" spans="1:2" x14ac:dyDescent="0.25">
      <c r="A58" s="14">
        <v>10990</v>
      </c>
      <c r="B58" s="16">
        <v>38449</v>
      </c>
    </row>
    <row r="59" spans="1:2" x14ac:dyDescent="0.25">
      <c r="A59" s="14">
        <v>10989</v>
      </c>
      <c r="B59" s="16">
        <v>38444</v>
      </c>
    </row>
    <row r="60" spans="1:2" x14ac:dyDescent="0.25">
      <c r="A60" s="14">
        <v>10988</v>
      </c>
      <c r="B60" s="16">
        <v>38452</v>
      </c>
    </row>
    <row r="61" spans="1:2" x14ac:dyDescent="0.25">
      <c r="A61" s="14">
        <v>10987</v>
      </c>
      <c r="B61" s="16">
        <v>38448</v>
      </c>
    </row>
    <row r="62" spans="1:2" x14ac:dyDescent="0.25">
      <c r="A62" s="14">
        <v>10986</v>
      </c>
      <c r="B62" s="16">
        <v>38463</v>
      </c>
    </row>
    <row r="63" spans="1:2" x14ac:dyDescent="0.25">
      <c r="A63" s="14">
        <v>10985</v>
      </c>
      <c r="B63" s="16">
        <v>38444</v>
      </c>
    </row>
    <row r="64" spans="1:2" x14ac:dyDescent="0.25">
      <c r="A64" s="14">
        <v>10984</v>
      </c>
      <c r="B64" s="16">
        <v>38445</v>
      </c>
    </row>
    <row r="65" spans="1:2" x14ac:dyDescent="0.25">
      <c r="A65" s="14">
        <v>10983</v>
      </c>
      <c r="B65" s="16">
        <v>38448</v>
      </c>
    </row>
    <row r="66" spans="1:2" x14ac:dyDescent="0.25">
      <c r="A66" s="14">
        <v>10982</v>
      </c>
      <c r="B66" s="16">
        <v>38450</v>
      </c>
    </row>
    <row r="67" spans="1:2" x14ac:dyDescent="0.25">
      <c r="A67" s="14">
        <v>10981</v>
      </c>
      <c r="B67" s="16">
        <v>38444</v>
      </c>
    </row>
    <row r="68" spans="1:2" x14ac:dyDescent="0.25">
      <c r="A68" s="14">
        <v>10980</v>
      </c>
      <c r="B68" s="16">
        <v>38459</v>
      </c>
    </row>
    <row r="69" spans="1:2" x14ac:dyDescent="0.25">
      <c r="A69" s="14">
        <v>10979</v>
      </c>
      <c r="B69" s="16">
        <v>38442</v>
      </c>
    </row>
    <row r="70" spans="1:2" x14ac:dyDescent="0.25">
      <c r="A70" s="14">
        <v>10978</v>
      </c>
      <c r="B70" s="16">
        <v>38465</v>
      </c>
    </row>
    <row r="71" spans="1:2" x14ac:dyDescent="0.25">
      <c r="A71" s="14">
        <v>10977</v>
      </c>
      <c r="B71" s="16">
        <v>38452</v>
      </c>
    </row>
    <row r="72" spans="1:2" x14ac:dyDescent="0.25">
      <c r="A72" s="14">
        <v>10976</v>
      </c>
      <c r="B72" s="16">
        <v>38445</v>
      </c>
    </row>
    <row r="73" spans="1:2" x14ac:dyDescent="0.25">
      <c r="A73" s="14">
        <v>10975</v>
      </c>
      <c r="B73" s="16">
        <v>38438</v>
      </c>
    </row>
    <row r="74" spans="1:2" x14ac:dyDescent="0.25">
      <c r="A74" s="14">
        <v>10974</v>
      </c>
      <c r="B74" s="16">
        <v>38445</v>
      </c>
    </row>
    <row r="75" spans="1:2" x14ac:dyDescent="0.25">
      <c r="A75" s="14">
        <v>10973</v>
      </c>
      <c r="B75" s="16">
        <v>38438</v>
      </c>
    </row>
    <row r="76" spans="1:2" x14ac:dyDescent="0.25">
      <c r="A76" s="14">
        <v>10972</v>
      </c>
      <c r="B76" s="16">
        <v>38437</v>
      </c>
    </row>
    <row r="77" spans="1:2" x14ac:dyDescent="0.25">
      <c r="A77" s="14">
        <v>10971</v>
      </c>
      <c r="B77" s="16">
        <v>38444</v>
      </c>
    </row>
    <row r="78" spans="1:2" x14ac:dyDescent="0.25">
      <c r="A78" s="14">
        <v>10970</v>
      </c>
      <c r="B78" s="16">
        <v>38466</v>
      </c>
    </row>
    <row r="79" spans="1:2" x14ac:dyDescent="0.25">
      <c r="A79" s="14">
        <v>10969</v>
      </c>
      <c r="B79" s="16">
        <v>38441</v>
      </c>
    </row>
    <row r="80" spans="1:2" x14ac:dyDescent="0.25">
      <c r="A80" s="14">
        <v>10968</v>
      </c>
      <c r="B80" s="16">
        <v>38443</v>
      </c>
    </row>
    <row r="81" spans="1:2" x14ac:dyDescent="0.25">
      <c r="A81" s="14">
        <v>10967</v>
      </c>
      <c r="B81" s="16">
        <v>38444</v>
      </c>
    </row>
    <row r="82" spans="1:2" x14ac:dyDescent="0.25">
      <c r="A82" s="14">
        <v>10966</v>
      </c>
      <c r="B82" s="16">
        <v>38450</v>
      </c>
    </row>
    <row r="83" spans="1:2" x14ac:dyDescent="0.25">
      <c r="A83" s="14">
        <v>10965</v>
      </c>
      <c r="B83" s="16">
        <v>38441</v>
      </c>
    </row>
    <row r="84" spans="1:2" x14ac:dyDescent="0.25">
      <c r="A84" s="14">
        <v>10964</v>
      </c>
      <c r="B84" s="16">
        <v>38435</v>
      </c>
    </row>
    <row r="85" spans="1:2" x14ac:dyDescent="0.25">
      <c r="A85" s="14">
        <v>10963</v>
      </c>
      <c r="B85" s="16">
        <v>38437</v>
      </c>
    </row>
    <row r="86" spans="1:2" x14ac:dyDescent="0.25">
      <c r="A86" s="14">
        <v>10962</v>
      </c>
      <c r="B86" s="16">
        <v>38434</v>
      </c>
    </row>
    <row r="87" spans="1:2" x14ac:dyDescent="0.25">
      <c r="A87" s="14">
        <v>10961</v>
      </c>
      <c r="B87" s="16">
        <v>38441</v>
      </c>
    </row>
    <row r="88" spans="1:2" x14ac:dyDescent="0.25">
      <c r="A88" s="14">
        <v>10960</v>
      </c>
      <c r="B88" s="16">
        <v>38450</v>
      </c>
    </row>
    <row r="89" spans="1:2" x14ac:dyDescent="0.25">
      <c r="A89" s="14">
        <v>10959</v>
      </c>
      <c r="B89" s="16">
        <v>38434</v>
      </c>
    </row>
    <row r="90" spans="1:2" x14ac:dyDescent="0.25">
      <c r="A90" s="14">
        <v>10958</v>
      </c>
      <c r="B90" s="16">
        <v>38438</v>
      </c>
    </row>
    <row r="91" spans="1:2" x14ac:dyDescent="0.25">
      <c r="A91" s="14">
        <v>10957</v>
      </c>
      <c r="B91" s="16">
        <v>38438</v>
      </c>
    </row>
    <row r="92" spans="1:2" x14ac:dyDescent="0.25">
      <c r="A92" s="14">
        <v>10956</v>
      </c>
      <c r="B92" s="16">
        <v>38431</v>
      </c>
    </row>
    <row r="93" spans="1:2" x14ac:dyDescent="0.25">
      <c r="A93" s="14">
        <v>10955</v>
      </c>
      <c r="B93" s="16">
        <v>38431</v>
      </c>
    </row>
    <row r="94" spans="1:2" x14ac:dyDescent="0.25">
      <c r="A94" s="14">
        <v>10954</v>
      </c>
      <c r="B94" s="16">
        <v>38431</v>
      </c>
    </row>
    <row r="95" spans="1:2" x14ac:dyDescent="0.25">
      <c r="A95" s="14">
        <v>10953</v>
      </c>
      <c r="B95" s="16">
        <v>38436</v>
      </c>
    </row>
    <row r="96" spans="1:2" x14ac:dyDescent="0.25">
      <c r="A96" s="14">
        <v>10952</v>
      </c>
      <c r="B96" s="16">
        <v>38435</v>
      </c>
    </row>
    <row r="97" spans="1:2" x14ac:dyDescent="0.25">
      <c r="A97" s="14">
        <v>10951</v>
      </c>
      <c r="B97" s="16">
        <v>38449</v>
      </c>
    </row>
    <row r="98" spans="1:2" x14ac:dyDescent="0.25">
      <c r="A98" s="14">
        <v>10950</v>
      </c>
      <c r="B98" s="16">
        <v>38434</v>
      </c>
    </row>
    <row r="99" spans="1:2" x14ac:dyDescent="0.25">
      <c r="A99" s="14">
        <v>10949</v>
      </c>
      <c r="B99" s="16">
        <v>38428</v>
      </c>
    </row>
    <row r="100" spans="1:2" x14ac:dyDescent="0.25">
      <c r="A100" s="14">
        <v>10948</v>
      </c>
      <c r="B100" s="16">
        <v>38430</v>
      </c>
    </row>
    <row r="101" spans="1:2" x14ac:dyDescent="0.25">
      <c r="A101" s="14">
        <v>10947</v>
      </c>
      <c r="B101" s="16">
        <v>38427</v>
      </c>
    </row>
    <row r="102" spans="1:2" x14ac:dyDescent="0.25">
      <c r="A102" s="14">
        <v>10946</v>
      </c>
      <c r="B102" s="16">
        <v>38430</v>
      </c>
    </row>
    <row r="103" spans="1:2" x14ac:dyDescent="0.25">
      <c r="A103" s="14">
        <v>10945</v>
      </c>
      <c r="B103" s="16">
        <v>38429</v>
      </c>
    </row>
    <row r="104" spans="1:2" x14ac:dyDescent="0.25">
      <c r="A104" s="14">
        <v>10944</v>
      </c>
      <c r="B104" s="16">
        <v>38424</v>
      </c>
    </row>
    <row r="105" spans="1:2" x14ac:dyDescent="0.25">
      <c r="A105" s="14">
        <v>10943</v>
      </c>
      <c r="B105" s="16">
        <v>38430</v>
      </c>
    </row>
    <row r="106" spans="1:2" x14ac:dyDescent="0.25">
      <c r="A106" s="14">
        <v>10942</v>
      </c>
      <c r="B106" s="16">
        <v>38429</v>
      </c>
    </row>
    <row r="107" spans="1:2" x14ac:dyDescent="0.25">
      <c r="A107" s="14">
        <v>10941</v>
      </c>
      <c r="B107" s="16">
        <v>38431</v>
      </c>
    </row>
    <row r="108" spans="1:2" x14ac:dyDescent="0.25">
      <c r="A108" s="14">
        <v>10940</v>
      </c>
      <c r="B108" s="16">
        <v>38434</v>
      </c>
    </row>
    <row r="109" spans="1:2" x14ac:dyDescent="0.25">
      <c r="A109" s="14">
        <v>10939</v>
      </c>
      <c r="B109" s="16">
        <v>38424</v>
      </c>
    </row>
    <row r="110" spans="1:2" x14ac:dyDescent="0.25">
      <c r="A110" s="14">
        <v>10938</v>
      </c>
      <c r="B110" s="16">
        <v>38427</v>
      </c>
    </row>
    <row r="111" spans="1:2" x14ac:dyDescent="0.25">
      <c r="A111" s="14">
        <v>10937</v>
      </c>
      <c r="B111" s="16">
        <v>38424</v>
      </c>
    </row>
    <row r="112" spans="1:2" x14ac:dyDescent="0.25">
      <c r="A112" s="14">
        <v>10936</v>
      </c>
      <c r="B112" s="16">
        <v>38429</v>
      </c>
    </row>
    <row r="113" spans="1:2" x14ac:dyDescent="0.25">
      <c r="A113" s="14">
        <v>10935</v>
      </c>
      <c r="B113" s="16">
        <v>38429</v>
      </c>
    </row>
    <row r="114" spans="1:2" x14ac:dyDescent="0.25">
      <c r="A114" s="14">
        <v>10934</v>
      </c>
      <c r="B114" s="16">
        <v>38423</v>
      </c>
    </row>
    <row r="115" spans="1:2" x14ac:dyDescent="0.25">
      <c r="A115" s="14">
        <v>10933</v>
      </c>
      <c r="B115" s="16">
        <v>38427</v>
      </c>
    </row>
    <row r="116" spans="1:2" x14ac:dyDescent="0.25">
      <c r="A116" s="14">
        <v>10932</v>
      </c>
      <c r="B116" s="16">
        <v>38435</v>
      </c>
    </row>
    <row r="117" spans="1:2" x14ac:dyDescent="0.25">
      <c r="A117" s="14">
        <v>10931</v>
      </c>
      <c r="B117" s="16">
        <v>38430</v>
      </c>
    </row>
    <row r="118" spans="1:2" x14ac:dyDescent="0.25">
      <c r="A118" s="14">
        <v>10930</v>
      </c>
      <c r="B118" s="16">
        <v>38429</v>
      </c>
    </row>
    <row r="119" spans="1:2" x14ac:dyDescent="0.25">
      <c r="A119" s="14">
        <v>10929</v>
      </c>
      <c r="B119" s="16">
        <v>38423</v>
      </c>
    </row>
    <row r="120" spans="1:2" x14ac:dyDescent="0.25">
      <c r="A120" s="14">
        <v>10928</v>
      </c>
      <c r="B120" s="16">
        <v>38429</v>
      </c>
    </row>
    <row r="121" spans="1:2" x14ac:dyDescent="0.25">
      <c r="A121" s="14">
        <v>10927</v>
      </c>
      <c r="B121" s="16">
        <v>38450</v>
      </c>
    </row>
    <row r="122" spans="1:2" x14ac:dyDescent="0.25">
      <c r="A122" s="14">
        <v>10926</v>
      </c>
      <c r="B122" s="16">
        <v>38422</v>
      </c>
    </row>
    <row r="123" spans="1:2" x14ac:dyDescent="0.25">
      <c r="A123" s="14">
        <v>10925</v>
      </c>
      <c r="B123" s="16">
        <v>38424</v>
      </c>
    </row>
    <row r="124" spans="1:2" x14ac:dyDescent="0.25">
      <c r="A124" s="14">
        <v>10924</v>
      </c>
      <c r="B124" s="16">
        <v>38450</v>
      </c>
    </row>
    <row r="125" spans="1:2" x14ac:dyDescent="0.25">
      <c r="A125" s="14">
        <v>10923</v>
      </c>
      <c r="B125" s="16">
        <v>38424</v>
      </c>
    </row>
    <row r="126" spans="1:2" x14ac:dyDescent="0.25">
      <c r="A126" s="14">
        <v>10922</v>
      </c>
      <c r="B126" s="16">
        <v>38416</v>
      </c>
    </row>
    <row r="127" spans="1:2" x14ac:dyDescent="0.25">
      <c r="A127" s="14">
        <v>10921</v>
      </c>
      <c r="B127" s="16">
        <v>38420</v>
      </c>
    </row>
    <row r="128" spans="1:2" x14ac:dyDescent="0.25">
      <c r="A128" s="14">
        <v>10920</v>
      </c>
      <c r="B128" s="16">
        <v>38420</v>
      </c>
    </row>
    <row r="129" spans="1:2" x14ac:dyDescent="0.25">
      <c r="A129" s="14">
        <v>10919</v>
      </c>
      <c r="B129" s="16">
        <v>38415</v>
      </c>
    </row>
    <row r="130" spans="1:2" x14ac:dyDescent="0.25">
      <c r="A130" s="14">
        <v>10918</v>
      </c>
      <c r="B130" s="16">
        <v>38422</v>
      </c>
    </row>
    <row r="131" spans="1:2" x14ac:dyDescent="0.25">
      <c r="A131" s="14">
        <v>10917</v>
      </c>
      <c r="B131" s="16">
        <v>38422</v>
      </c>
    </row>
    <row r="132" spans="1:2" x14ac:dyDescent="0.25">
      <c r="A132" s="14">
        <v>10916</v>
      </c>
      <c r="B132" s="16">
        <v>38420</v>
      </c>
    </row>
    <row r="133" spans="1:2" x14ac:dyDescent="0.25">
      <c r="A133" s="14">
        <v>10915</v>
      </c>
      <c r="B133" s="16">
        <v>38413</v>
      </c>
    </row>
    <row r="134" spans="1:2" x14ac:dyDescent="0.25">
      <c r="A134" s="14">
        <v>10914</v>
      </c>
      <c r="B134" s="16">
        <v>38413</v>
      </c>
    </row>
    <row r="135" spans="1:2" x14ac:dyDescent="0.25">
      <c r="A135" s="14">
        <v>10913</v>
      </c>
      <c r="B135" s="16">
        <v>38415</v>
      </c>
    </row>
    <row r="136" spans="1:2" x14ac:dyDescent="0.25">
      <c r="A136" s="14">
        <v>10912</v>
      </c>
      <c r="B136" s="16">
        <v>38429</v>
      </c>
    </row>
    <row r="137" spans="1:2" x14ac:dyDescent="0.25">
      <c r="A137" s="14">
        <v>10911</v>
      </c>
      <c r="B137" s="16">
        <v>38416</v>
      </c>
    </row>
    <row r="138" spans="1:2" x14ac:dyDescent="0.25">
      <c r="A138" s="14">
        <v>10910</v>
      </c>
      <c r="B138" s="16">
        <v>38415</v>
      </c>
    </row>
    <row r="139" spans="1:2" x14ac:dyDescent="0.25">
      <c r="A139" s="14">
        <v>10909</v>
      </c>
      <c r="B139" s="16">
        <v>38421</v>
      </c>
    </row>
    <row r="140" spans="1:2" x14ac:dyDescent="0.25">
      <c r="A140" s="14">
        <v>10908</v>
      </c>
      <c r="B140" s="16">
        <v>38417</v>
      </c>
    </row>
    <row r="141" spans="1:2" x14ac:dyDescent="0.25">
      <c r="A141" s="14">
        <v>10907</v>
      </c>
      <c r="B141" s="16">
        <v>38410</v>
      </c>
    </row>
    <row r="142" spans="1:2" x14ac:dyDescent="0.25">
      <c r="A142" s="14">
        <v>10906</v>
      </c>
      <c r="B142" s="16">
        <v>38414</v>
      </c>
    </row>
    <row r="143" spans="1:2" x14ac:dyDescent="0.25">
      <c r="A143" s="14">
        <v>10905</v>
      </c>
      <c r="B143" s="16">
        <v>38417</v>
      </c>
    </row>
    <row r="144" spans="1:2" x14ac:dyDescent="0.25">
      <c r="A144" s="14">
        <v>10904</v>
      </c>
      <c r="B144" s="16">
        <v>38410</v>
      </c>
    </row>
    <row r="145" spans="1:2" x14ac:dyDescent="0.25">
      <c r="A145" s="14">
        <v>10903</v>
      </c>
      <c r="B145" s="16">
        <v>38415</v>
      </c>
    </row>
    <row r="146" spans="1:2" x14ac:dyDescent="0.25">
      <c r="A146" s="14">
        <v>10902</v>
      </c>
      <c r="B146" s="16">
        <v>38414</v>
      </c>
    </row>
    <row r="147" spans="1:2" x14ac:dyDescent="0.25">
      <c r="A147" s="14">
        <v>10901</v>
      </c>
      <c r="B147" s="16">
        <v>38409</v>
      </c>
    </row>
    <row r="148" spans="1:2" x14ac:dyDescent="0.25">
      <c r="A148" s="14">
        <v>10900</v>
      </c>
      <c r="B148" s="16">
        <v>38415</v>
      </c>
    </row>
    <row r="149" spans="1:2" x14ac:dyDescent="0.25">
      <c r="A149" s="14">
        <v>10899</v>
      </c>
      <c r="B149" s="16">
        <v>38409</v>
      </c>
    </row>
    <row r="150" spans="1:2" x14ac:dyDescent="0.25">
      <c r="A150" s="14">
        <v>10898</v>
      </c>
      <c r="B150" s="16">
        <v>38417</v>
      </c>
    </row>
    <row r="151" spans="1:2" x14ac:dyDescent="0.25">
      <c r="A151" s="14">
        <v>10897</v>
      </c>
      <c r="B151" s="16">
        <v>38408</v>
      </c>
    </row>
    <row r="152" spans="1:2" x14ac:dyDescent="0.25">
      <c r="A152" s="14">
        <v>10896</v>
      </c>
      <c r="B152" s="16">
        <v>38410</v>
      </c>
    </row>
    <row r="153" spans="1:2" x14ac:dyDescent="0.25">
      <c r="A153" s="14">
        <v>10895</v>
      </c>
      <c r="B153" s="16">
        <v>38406</v>
      </c>
    </row>
    <row r="154" spans="1:2" x14ac:dyDescent="0.25">
      <c r="A154" s="14">
        <v>10894</v>
      </c>
      <c r="B154" s="16">
        <v>38403</v>
      </c>
    </row>
    <row r="155" spans="1:2" x14ac:dyDescent="0.25">
      <c r="A155" s="14">
        <v>10893</v>
      </c>
      <c r="B155" s="16">
        <v>38403</v>
      </c>
    </row>
    <row r="156" spans="1:2" x14ac:dyDescent="0.25">
      <c r="A156" s="14">
        <v>10892</v>
      </c>
      <c r="B156" s="16">
        <v>38402</v>
      </c>
    </row>
    <row r="157" spans="1:2" x14ac:dyDescent="0.25">
      <c r="A157" s="14">
        <v>10891</v>
      </c>
      <c r="B157" s="16">
        <v>38402</v>
      </c>
    </row>
    <row r="158" spans="1:2" x14ac:dyDescent="0.25">
      <c r="A158" s="14">
        <v>10890</v>
      </c>
      <c r="B158" s="16">
        <v>38401</v>
      </c>
    </row>
    <row r="159" spans="1:2" x14ac:dyDescent="0.25">
      <c r="A159" s="14">
        <v>10889</v>
      </c>
      <c r="B159" s="16">
        <v>38406</v>
      </c>
    </row>
    <row r="160" spans="1:2" x14ac:dyDescent="0.25">
      <c r="A160" s="14">
        <v>10888</v>
      </c>
      <c r="B160" s="16">
        <v>38406</v>
      </c>
    </row>
    <row r="161" spans="1:2" x14ac:dyDescent="0.25">
      <c r="A161" s="14">
        <v>10887</v>
      </c>
      <c r="B161" s="16">
        <v>38399</v>
      </c>
    </row>
    <row r="162" spans="1:2" x14ac:dyDescent="0.25">
      <c r="A162" s="14">
        <v>10886</v>
      </c>
      <c r="B162" s="16">
        <v>38413</v>
      </c>
    </row>
    <row r="163" spans="1:2" x14ac:dyDescent="0.25">
      <c r="A163" s="14">
        <v>10885</v>
      </c>
      <c r="B163" s="16">
        <v>38401</v>
      </c>
    </row>
    <row r="164" spans="1:2" x14ac:dyDescent="0.25">
      <c r="A164" s="14">
        <v>10884</v>
      </c>
      <c r="B164" s="16">
        <v>38396</v>
      </c>
    </row>
    <row r="165" spans="1:2" x14ac:dyDescent="0.25">
      <c r="A165" s="14">
        <v>10883</v>
      </c>
      <c r="B165" s="16">
        <v>38403</v>
      </c>
    </row>
    <row r="166" spans="1:2" x14ac:dyDescent="0.25">
      <c r="A166" s="14">
        <v>10882</v>
      </c>
      <c r="B166" s="16">
        <v>38403</v>
      </c>
    </row>
    <row r="167" spans="1:2" x14ac:dyDescent="0.25">
      <c r="A167" s="14">
        <v>10881</v>
      </c>
      <c r="B167" s="16">
        <v>38401</v>
      </c>
    </row>
    <row r="168" spans="1:2" x14ac:dyDescent="0.25">
      <c r="A168" s="14">
        <v>10880</v>
      </c>
      <c r="B168" s="16">
        <v>38401</v>
      </c>
    </row>
    <row r="169" spans="1:2" x14ac:dyDescent="0.25">
      <c r="A169" s="14">
        <v>10879</v>
      </c>
      <c r="B169" s="16">
        <v>38395</v>
      </c>
    </row>
    <row r="170" spans="1:2" x14ac:dyDescent="0.25">
      <c r="A170" s="14">
        <v>10878</v>
      </c>
      <c r="B170" s="16">
        <v>38395</v>
      </c>
    </row>
    <row r="171" spans="1:2" x14ac:dyDescent="0.25">
      <c r="A171" s="14">
        <v>10877</v>
      </c>
      <c r="B171" s="16">
        <v>38402</v>
      </c>
    </row>
    <row r="172" spans="1:2" x14ac:dyDescent="0.25">
      <c r="A172" s="14">
        <v>10876</v>
      </c>
      <c r="B172" s="16">
        <v>38395</v>
      </c>
    </row>
    <row r="173" spans="1:2" x14ac:dyDescent="0.25">
      <c r="A173" s="14">
        <v>10875</v>
      </c>
      <c r="B173" s="16">
        <v>38414</v>
      </c>
    </row>
    <row r="174" spans="1:2" x14ac:dyDescent="0.25">
      <c r="A174" s="14">
        <v>10874</v>
      </c>
      <c r="B174" s="16">
        <v>38394</v>
      </c>
    </row>
    <row r="175" spans="1:2" x14ac:dyDescent="0.25">
      <c r="A175" s="14">
        <v>10873</v>
      </c>
      <c r="B175" s="16">
        <v>38392</v>
      </c>
    </row>
    <row r="176" spans="1:2" x14ac:dyDescent="0.25">
      <c r="A176" s="14">
        <v>10872</v>
      </c>
      <c r="B176" s="16">
        <v>38392</v>
      </c>
    </row>
    <row r="177" spans="1:2" x14ac:dyDescent="0.25">
      <c r="A177" s="14">
        <v>10871</v>
      </c>
      <c r="B177" s="16">
        <v>38393</v>
      </c>
    </row>
    <row r="178" spans="1:2" x14ac:dyDescent="0.25">
      <c r="A178" s="14">
        <v>10870</v>
      </c>
      <c r="B178" s="16">
        <v>38396</v>
      </c>
    </row>
    <row r="179" spans="1:2" x14ac:dyDescent="0.25">
      <c r="A179" s="14">
        <v>10869</v>
      </c>
      <c r="B179" s="16">
        <v>38392</v>
      </c>
    </row>
    <row r="180" spans="1:2" x14ac:dyDescent="0.25">
      <c r="A180" s="14">
        <v>10868</v>
      </c>
      <c r="B180" s="16">
        <v>38406</v>
      </c>
    </row>
    <row r="181" spans="1:2" x14ac:dyDescent="0.25">
      <c r="A181" s="14">
        <v>10867</v>
      </c>
      <c r="B181" s="16">
        <v>38394</v>
      </c>
    </row>
    <row r="182" spans="1:2" x14ac:dyDescent="0.25">
      <c r="A182" s="14">
        <v>10866</v>
      </c>
      <c r="B182" s="16">
        <v>38395</v>
      </c>
    </row>
    <row r="183" spans="1:2" x14ac:dyDescent="0.25">
      <c r="A183" s="14">
        <v>10865</v>
      </c>
      <c r="B183" s="16">
        <v>38395</v>
      </c>
    </row>
    <row r="184" spans="1:2" x14ac:dyDescent="0.25">
      <c r="A184" s="14">
        <v>10864</v>
      </c>
      <c r="B184" s="16">
        <v>38392</v>
      </c>
    </row>
    <row r="185" spans="1:2" x14ac:dyDescent="0.25">
      <c r="A185" s="14">
        <v>10863</v>
      </c>
      <c r="B185" s="16">
        <v>38400</v>
      </c>
    </row>
    <row r="186" spans="1:2" x14ac:dyDescent="0.25">
      <c r="A186" s="14">
        <v>10862</v>
      </c>
      <c r="B186" s="16">
        <v>38385</v>
      </c>
    </row>
    <row r="187" spans="1:2" x14ac:dyDescent="0.25">
      <c r="A187" s="14">
        <v>10861</v>
      </c>
      <c r="B187" s="16">
        <v>38400</v>
      </c>
    </row>
    <row r="188" spans="1:2" x14ac:dyDescent="0.25">
      <c r="A188" s="14">
        <v>10860</v>
      </c>
      <c r="B188" s="16">
        <v>38387</v>
      </c>
    </row>
    <row r="189" spans="1:2" x14ac:dyDescent="0.25">
      <c r="A189" s="14">
        <v>10859</v>
      </c>
      <c r="B189" s="16">
        <v>38385</v>
      </c>
    </row>
    <row r="190" spans="1:2" x14ac:dyDescent="0.25">
      <c r="A190" s="14">
        <v>10858</v>
      </c>
      <c r="B190" s="16">
        <v>38386</v>
      </c>
    </row>
    <row r="191" spans="1:2" x14ac:dyDescent="0.25">
      <c r="A191" s="14">
        <v>10857</v>
      </c>
      <c r="B191" s="16">
        <v>38389</v>
      </c>
    </row>
    <row r="192" spans="1:2" x14ac:dyDescent="0.25">
      <c r="A192" s="14">
        <v>10856</v>
      </c>
      <c r="B192" s="16">
        <v>38393</v>
      </c>
    </row>
    <row r="193" spans="1:2" x14ac:dyDescent="0.25">
      <c r="A193" s="14">
        <v>10855</v>
      </c>
      <c r="B193" s="16">
        <v>38387</v>
      </c>
    </row>
    <row r="194" spans="1:2" x14ac:dyDescent="0.25">
      <c r="A194" s="14">
        <v>10854</v>
      </c>
      <c r="B194" s="16">
        <v>38388</v>
      </c>
    </row>
    <row r="195" spans="1:2" x14ac:dyDescent="0.25">
      <c r="A195" s="14">
        <v>10853</v>
      </c>
      <c r="B195" s="16">
        <v>38386</v>
      </c>
    </row>
    <row r="196" spans="1:2" x14ac:dyDescent="0.25">
      <c r="A196" s="14">
        <v>10852</v>
      </c>
      <c r="B196" s="16">
        <v>38382</v>
      </c>
    </row>
    <row r="197" spans="1:2" x14ac:dyDescent="0.25">
      <c r="A197" s="14">
        <v>10851</v>
      </c>
      <c r="B197" s="16">
        <v>38385</v>
      </c>
    </row>
    <row r="198" spans="1:2" x14ac:dyDescent="0.25">
      <c r="A198" s="14">
        <v>10850</v>
      </c>
      <c r="B198" s="16">
        <v>38382</v>
      </c>
    </row>
    <row r="199" spans="1:2" x14ac:dyDescent="0.25">
      <c r="A199" s="14">
        <v>10849</v>
      </c>
      <c r="B199" s="16">
        <v>38382</v>
      </c>
    </row>
    <row r="200" spans="1:2" x14ac:dyDescent="0.25">
      <c r="A200" s="14">
        <v>10848</v>
      </c>
      <c r="B200" s="16">
        <v>38381</v>
      </c>
    </row>
    <row r="201" spans="1:2" x14ac:dyDescent="0.25">
      <c r="A201" s="14">
        <v>10847</v>
      </c>
      <c r="B201" s="16">
        <v>38393</v>
      </c>
    </row>
    <row r="202" spans="1:2" x14ac:dyDescent="0.25">
      <c r="A202" s="14">
        <v>10846</v>
      </c>
      <c r="B202" s="16">
        <v>38375</v>
      </c>
    </row>
    <row r="203" spans="1:2" x14ac:dyDescent="0.25">
      <c r="A203" s="14">
        <v>10845</v>
      </c>
      <c r="B203" s="16">
        <v>38382</v>
      </c>
    </row>
    <row r="204" spans="1:2" x14ac:dyDescent="0.25">
      <c r="A204" s="14">
        <v>10844</v>
      </c>
      <c r="B204" s="16">
        <v>38378</v>
      </c>
    </row>
    <row r="205" spans="1:2" x14ac:dyDescent="0.25">
      <c r="A205" s="14">
        <v>10843</v>
      </c>
      <c r="B205" s="16">
        <v>38378</v>
      </c>
    </row>
    <row r="206" spans="1:2" x14ac:dyDescent="0.25">
      <c r="A206" s="14">
        <v>10842</v>
      </c>
      <c r="B206" s="16">
        <v>38381</v>
      </c>
    </row>
    <row r="207" spans="1:2" x14ac:dyDescent="0.25">
      <c r="A207" s="14">
        <v>10841</v>
      </c>
      <c r="B207" s="16">
        <v>38381</v>
      </c>
    </row>
    <row r="208" spans="1:2" x14ac:dyDescent="0.25">
      <c r="A208" s="14">
        <v>10840</v>
      </c>
      <c r="B208" s="16">
        <v>38399</v>
      </c>
    </row>
    <row r="209" spans="1:2" x14ac:dyDescent="0.25">
      <c r="A209" s="14">
        <v>10839</v>
      </c>
      <c r="B209" s="16">
        <v>38374</v>
      </c>
    </row>
    <row r="210" spans="1:2" x14ac:dyDescent="0.25">
      <c r="A210" s="14">
        <v>10838</v>
      </c>
      <c r="B210" s="16">
        <v>38375</v>
      </c>
    </row>
    <row r="211" spans="1:2" x14ac:dyDescent="0.25">
      <c r="A211" s="14">
        <v>10837</v>
      </c>
      <c r="B211" s="16">
        <v>38375</v>
      </c>
    </row>
    <row r="212" spans="1:2" x14ac:dyDescent="0.25">
      <c r="A212" s="14">
        <v>10836</v>
      </c>
      <c r="B212" s="16">
        <v>38373</v>
      </c>
    </row>
    <row r="213" spans="1:2" x14ac:dyDescent="0.25">
      <c r="A213" s="14">
        <v>10835</v>
      </c>
      <c r="B213" s="16">
        <v>38373</v>
      </c>
    </row>
    <row r="214" spans="1:2" x14ac:dyDescent="0.25">
      <c r="A214" s="14">
        <v>10834</v>
      </c>
      <c r="B214" s="16">
        <v>38371</v>
      </c>
    </row>
    <row r="215" spans="1:2" x14ac:dyDescent="0.25">
      <c r="A215" s="14">
        <v>10833</v>
      </c>
      <c r="B215" s="16">
        <v>38375</v>
      </c>
    </row>
    <row r="216" spans="1:2" x14ac:dyDescent="0.25">
      <c r="A216" s="14">
        <v>10832</v>
      </c>
      <c r="B216" s="16">
        <v>38371</v>
      </c>
    </row>
    <row r="217" spans="1:2" x14ac:dyDescent="0.25">
      <c r="A217" s="14">
        <v>10831</v>
      </c>
      <c r="B217" s="16">
        <v>38375</v>
      </c>
    </row>
    <row r="218" spans="1:2" x14ac:dyDescent="0.25">
      <c r="A218" s="14">
        <v>10830</v>
      </c>
      <c r="B218" s="16">
        <v>38373</v>
      </c>
    </row>
    <row r="219" spans="1:2" x14ac:dyDescent="0.25">
      <c r="A219" s="14">
        <v>10829</v>
      </c>
      <c r="B219" s="16">
        <v>38375</v>
      </c>
    </row>
    <row r="220" spans="1:2" x14ac:dyDescent="0.25">
      <c r="A220" s="14">
        <v>10828</v>
      </c>
      <c r="B220" s="16">
        <v>38387</v>
      </c>
    </row>
    <row r="221" spans="1:2" x14ac:dyDescent="0.25">
      <c r="A221" s="14">
        <v>10827</v>
      </c>
      <c r="B221" s="16">
        <v>38389</v>
      </c>
    </row>
    <row r="222" spans="1:2" x14ac:dyDescent="0.25">
      <c r="A222" s="14">
        <v>10826</v>
      </c>
      <c r="B222" s="16">
        <v>38389</v>
      </c>
    </row>
    <row r="223" spans="1:2" x14ac:dyDescent="0.25">
      <c r="A223" s="14">
        <v>10825</v>
      </c>
      <c r="B223" s="16">
        <v>38366</v>
      </c>
    </row>
    <row r="224" spans="1:2" x14ac:dyDescent="0.25">
      <c r="A224" s="14">
        <v>10824</v>
      </c>
      <c r="B224" s="16">
        <v>38382</v>
      </c>
    </row>
    <row r="225" spans="1:2" x14ac:dyDescent="0.25">
      <c r="A225" s="14">
        <v>10823</v>
      </c>
      <c r="B225" s="16">
        <v>38365</v>
      </c>
    </row>
    <row r="226" spans="1:2" x14ac:dyDescent="0.25">
      <c r="A226" s="14">
        <v>10822</v>
      </c>
      <c r="B226" s="16">
        <v>38368</v>
      </c>
    </row>
    <row r="227" spans="1:2" x14ac:dyDescent="0.25">
      <c r="A227" s="14">
        <v>10821</v>
      </c>
      <c r="B227" s="16">
        <v>38367</v>
      </c>
    </row>
    <row r="228" spans="1:2" x14ac:dyDescent="0.25">
      <c r="A228" s="14">
        <v>10820</v>
      </c>
      <c r="B228" s="16">
        <v>38365</v>
      </c>
    </row>
    <row r="229" spans="1:2" x14ac:dyDescent="0.25">
      <c r="A229" s="14">
        <v>10819</v>
      </c>
      <c r="B229" s="16">
        <v>38368</v>
      </c>
    </row>
    <row r="230" spans="1:2" x14ac:dyDescent="0.25">
      <c r="A230" s="14">
        <v>10818</v>
      </c>
      <c r="B230" s="16">
        <v>38364</v>
      </c>
    </row>
    <row r="231" spans="1:2" x14ac:dyDescent="0.25">
      <c r="A231" s="14">
        <v>10817</v>
      </c>
      <c r="B231" s="16">
        <v>38365</v>
      </c>
    </row>
    <row r="232" spans="1:2" x14ac:dyDescent="0.25">
      <c r="A232" s="14">
        <v>10816</v>
      </c>
      <c r="B232" s="16">
        <v>38387</v>
      </c>
    </row>
    <row r="233" spans="1:2" x14ac:dyDescent="0.25">
      <c r="A233" s="14">
        <v>10815</v>
      </c>
      <c r="B233" s="16">
        <v>38366</v>
      </c>
    </row>
    <row r="234" spans="1:2" x14ac:dyDescent="0.25">
      <c r="A234" s="14">
        <v>10814</v>
      </c>
      <c r="B234" s="16">
        <v>38366</v>
      </c>
    </row>
    <row r="235" spans="1:2" x14ac:dyDescent="0.25">
      <c r="A235" s="14">
        <v>10813</v>
      </c>
      <c r="B235" s="16">
        <v>38361</v>
      </c>
    </row>
    <row r="236" spans="1:2" x14ac:dyDescent="0.25">
      <c r="A236" s="14">
        <v>10812</v>
      </c>
      <c r="B236" s="16">
        <v>38364</v>
      </c>
    </row>
    <row r="237" spans="1:2" x14ac:dyDescent="0.25">
      <c r="A237" s="14">
        <v>10811</v>
      </c>
      <c r="B237" s="16">
        <v>38360</v>
      </c>
    </row>
    <row r="238" spans="1:2" x14ac:dyDescent="0.25">
      <c r="A238" s="14">
        <v>10810</v>
      </c>
      <c r="B238" s="16">
        <v>38359</v>
      </c>
    </row>
    <row r="239" spans="1:2" x14ac:dyDescent="0.25">
      <c r="A239" s="14">
        <v>10809</v>
      </c>
      <c r="B239" s="16">
        <v>38359</v>
      </c>
    </row>
    <row r="240" spans="1:2" x14ac:dyDescent="0.25">
      <c r="A240" s="14">
        <v>10808</v>
      </c>
      <c r="B240" s="16">
        <v>38361</v>
      </c>
    </row>
    <row r="241" spans="1:2" x14ac:dyDescent="0.25">
      <c r="A241" s="14">
        <v>10807</v>
      </c>
      <c r="B241" s="16">
        <v>38382</v>
      </c>
    </row>
    <row r="242" spans="1:2" x14ac:dyDescent="0.25">
      <c r="A242" s="14">
        <v>10806</v>
      </c>
      <c r="B242" s="16">
        <v>38357</v>
      </c>
    </row>
    <row r="243" spans="1:2" x14ac:dyDescent="0.25">
      <c r="A243" s="14">
        <v>10805</v>
      </c>
      <c r="B243" s="16">
        <v>38361</v>
      </c>
    </row>
    <row r="244" spans="1:2" x14ac:dyDescent="0.25">
      <c r="A244" s="14">
        <v>10804</v>
      </c>
      <c r="B244" s="16">
        <v>38359</v>
      </c>
    </row>
    <row r="245" spans="1:2" x14ac:dyDescent="0.25">
      <c r="A245" s="14">
        <v>10803</v>
      </c>
      <c r="B245" s="16">
        <v>38358</v>
      </c>
    </row>
    <row r="246" spans="1:2" x14ac:dyDescent="0.25">
      <c r="A246" s="14">
        <v>10802</v>
      </c>
      <c r="B246" s="16">
        <v>38354</v>
      </c>
    </row>
    <row r="247" spans="1:2" x14ac:dyDescent="0.25">
      <c r="A247" s="14">
        <v>10801</v>
      </c>
      <c r="B247" s="16">
        <v>38352</v>
      </c>
    </row>
    <row r="248" spans="1:2" x14ac:dyDescent="0.25">
      <c r="A248" s="14">
        <v>10800</v>
      </c>
      <c r="B248" s="16">
        <v>38357</v>
      </c>
    </row>
    <row r="249" spans="1:2" x14ac:dyDescent="0.25">
      <c r="A249" s="14">
        <v>10799</v>
      </c>
      <c r="B249" s="16">
        <v>38357</v>
      </c>
    </row>
    <row r="250" spans="1:2" x14ac:dyDescent="0.25">
      <c r="A250" s="14">
        <v>10798</v>
      </c>
      <c r="B250" s="16">
        <v>38357</v>
      </c>
    </row>
    <row r="251" spans="1:2" x14ac:dyDescent="0.25">
      <c r="A251" s="14">
        <v>10797</v>
      </c>
      <c r="B251" s="16">
        <v>38357</v>
      </c>
    </row>
    <row r="252" spans="1:2" x14ac:dyDescent="0.25">
      <c r="A252" s="14">
        <v>10796</v>
      </c>
      <c r="B252" s="16">
        <v>38366</v>
      </c>
    </row>
    <row r="253" spans="1:2" x14ac:dyDescent="0.25">
      <c r="A253" s="14">
        <v>10795</v>
      </c>
      <c r="B253" s="16">
        <v>38372</v>
      </c>
    </row>
    <row r="254" spans="1:2" x14ac:dyDescent="0.25">
      <c r="A254" s="14">
        <v>10794</v>
      </c>
      <c r="B254" s="16">
        <v>38354</v>
      </c>
    </row>
    <row r="255" spans="1:2" x14ac:dyDescent="0.25">
      <c r="A255" s="14">
        <v>10793</v>
      </c>
      <c r="B255" s="16">
        <v>38360</v>
      </c>
    </row>
    <row r="256" spans="1:2" x14ac:dyDescent="0.25">
      <c r="A256" s="14">
        <v>10792</v>
      </c>
      <c r="B256" s="16">
        <v>38352</v>
      </c>
    </row>
    <row r="257" spans="1:2" x14ac:dyDescent="0.25">
      <c r="A257" s="14">
        <v>10791</v>
      </c>
      <c r="B257" s="16">
        <v>38353</v>
      </c>
    </row>
    <row r="258" spans="1:2" x14ac:dyDescent="0.25">
      <c r="A258" s="14">
        <v>10790</v>
      </c>
      <c r="B258" s="16">
        <v>38347</v>
      </c>
    </row>
    <row r="259" spans="1:2" x14ac:dyDescent="0.25">
      <c r="A259" s="14">
        <v>10789</v>
      </c>
      <c r="B259" s="16">
        <v>38352</v>
      </c>
    </row>
    <row r="260" spans="1:2" x14ac:dyDescent="0.25">
      <c r="A260" s="14">
        <v>10788</v>
      </c>
      <c r="B260" s="16">
        <v>38371</v>
      </c>
    </row>
    <row r="261" spans="1:2" x14ac:dyDescent="0.25">
      <c r="A261" s="14">
        <v>10787</v>
      </c>
      <c r="B261" s="16">
        <v>38347</v>
      </c>
    </row>
    <row r="262" spans="1:2" x14ac:dyDescent="0.25">
      <c r="A262" s="14">
        <v>10786</v>
      </c>
      <c r="B262" s="16">
        <v>38344</v>
      </c>
    </row>
    <row r="263" spans="1:2" x14ac:dyDescent="0.25">
      <c r="A263" s="14">
        <v>10785</v>
      </c>
      <c r="B263" s="16">
        <v>38345</v>
      </c>
    </row>
    <row r="264" spans="1:2" x14ac:dyDescent="0.25">
      <c r="A264" s="14">
        <v>10784</v>
      </c>
      <c r="B264" s="16">
        <v>38343</v>
      </c>
    </row>
    <row r="265" spans="1:2" x14ac:dyDescent="0.25">
      <c r="A265" s="14">
        <v>10783</v>
      </c>
      <c r="B265" s="16">
        <v>38340</v>
      </c>
    </row>
    <row r="266" spans="1:2" x14ac:dyDescent="0.25">
      <c r="A266" s="14">
        <v>10782</v>
      </c>
      <c r="B266" s="16">
        <v>38343</v>
      </c>
    </row>
    <row r="267" spans="1:2" x14ac:dyDescent="0.25">
      <c r="A267" s="14">
        <v>10781</v>
      </c>
      <c r="B267" s="16">
        <v>38340</v>
      </c>
    </row>
    <row r="268" spans="1:2" x14ac:dyDescent="0.25">
      <c r="A268" s="14">
        <v>10780</v>
      </c>
      <c r="B268" s="16">
        <v>38346</v>
      </c>
    </row>
    <row r="269" spans="1:2" x14ac:dyDescent="0.25">
      <c r="A269" s="14">
        <v>10779</v>
      </c>
      <c r="B269" s="16">
        <v>38366</v>
      </c>
    </row>
    <row r="270" spans="1:2" x14ac:dyDescent="0.25">
      <c r="A270" s="14">
        <v>10778</v>
      </c>
      <c r="B270" s="16">
        <v>38345</v>
      </c>
    </row>
    <row r="271" spans="1:2" x14ac:dyDescent="0.25">
      <c r="A271" s="14">
        <v>10777</v>
      </c>
      <c r="B271" s="16">
        <v>38373</v>
      </c>
    </row>
    <row r="272" spans="1:2" x14ac:dyDescent="0.25">
      <c r="A272" s="14">
        <v>10776</v>
      </c>
      <c r="B272" s="16">
        <v>38339</v>
      </c>
    </row>
    <row r="273" spans="1:2" x14ac:dyDescent="0.25">
      <c r="A273" s="14">
        <v>10775</v>
      </c>
      <c r="B273" s="16">
        <v>38347</v>
      </c>
    </row>
    <row r="274" spans="1:2" x14ac:dyDescent="0.25">
      <c r="A274" s="14">
        <v>10774</v>
      </c>
      <c r="B274" s="16">
        <v>38333</v>
      </c>
    </row>
    <row r="275" spans="1:2" x14ac:dyDescent="0.25">
      <c r="A275" s="14">
        <v>10773</v>
      </c>
      <c r="B275" s="16">
        <v>38337</v>
      </c>
    </row>
    <row r="276" spans="1:2" x14ac:dyDescent="0.25">
      <c r="A276" s="14">
        <v>10772</v>
      </c>
      <c r="B276" s="16">
        <v>38340</v>
      </c>
    </row>
    <row r="277" spans="1:2" x14ac:dyDescent="0.25">
      <c r="A277" s="14">
        <v>10771</v>
      </c>
      <c r="B277" s="16">
        <v>37988</v>
      </c>
    </row>
    <row r="278" spans="1:2" x14ac:dyDescent="0.25">
      <c r="A278" s="14">
        <v>10770</v>
      </c>
      <c r="B278" s="16">
        <v>38338</v>
      </c>
    </row>
    <row r="279" spans="1:2" x14ac:dyDescent="0.25">
      <c r="A279" s="14">
        <v>10769</v>
      </c>
      <c r="B279" s="16">
        <v>38333</v>
      </c>
    </row>
    <row r="280" spans="1:2" x14ac:dyDescent="0.25">
      <c r="A280" s="14">
        <v>10768</v>
      </c>
      <c r="B280" s="16">
        <v>38336</v>
      </c>
    </row>
    <row r="281" spans="1:2" x14ac:dyDescent="0.25">
      <c r="A281" s="14">
        <v>10767</v>
      </c>
      <c r="B281" s="16">
        <v>38336</v>
      </c>
    </row>
    <row r="282" spans="1:2" x14ac:dyDescent="0.25">
      <c r="A282" s="14">
        <v>10766</v>
      </c>
      <c r="B282" s="16">
        <v>38330</v>
      </c>
    </row>
    <row r="283" spans="1:2" x14ac:dyDescent="0.25">
      <c r="A283" s="14">
        <v>10765</v>
      </c>
      <c r="B283" s="16">
        <v>38330</v>
      </c>
    </row>
    <row r="284" spans="1:2" x14ac:dyDescent="0.25">
      <c r="A284" s="14">
        <v>10764</v>
      </c>
      <c r="B284" s="16">
        <v>38329</v>
      </c>
    </row>
    <row r="285" spans="1:2" x14ac:dyDescent="0.25">
      <c r="A285" s="14">
        <v>10763</v>
      </c>
      <c r="B285" s="16">
        <v>38329</v>
      </c>
    </row>
    <row r="286" spans="1:2" x14ac:dyDescent="0.25">
      <c r="A286" s="14">
        <v>10762</v>
      </c>
      <c r="B286" s="16">
        <v>38330</v>
      </c>
    </row>
    <row r="287" spans="1:2" x14ac:dyDescent="0.25">
      <c r="A287" s="14">
        <v>10761</v>
      </c>
      <c r="B287" s="16">
        <v>38329</v>
      </c>
    </row>
    <row r="288" spans="1:2" x14ac:dyDescent="0.25">
      <c r="A288" s="14">
        <v>10760</v>
      </c>
      <c r="B288" s="16">
        <v>38331</v>
      </c>
    </row>
    <row r="289" spans="1:2" x14ac:dyDescent="0.25">
      <c r="A289" s="14">
        <v>10759</v>
      </c>
      <c r="B289" s="16">
        <v>38333</v>
      </c>
    </row>
    <row r="290" spans="1:2" x14ac:dyDescent="0.25">
      <c r="A290" s="14">
        <v>10758</v>
      </c>
      <c r="B290" s="16">
        <v>38325</v>
      </c>
    </row>
    <row r="291" spans="1:2" x14ac:dyDescent="0.25">
      <c r="A291" s="14">
        <v>10757</v>
      </c>
      <c r="B291" s="16">
        <v>38336</v>
      </c>
    </row>
    <row r="292" spans="1:2" x14ac:dyDescent="0.25">
      <c r="A292" s="14">
        <v>10756</v>
      </c>
      <c r="B292" s="16">
        <v>38323</v>
      </c>
    </row>
    <row r="293" spans="1:2" x14ac:dyDescent="0.25">
      <c r="A293" s="14">
        <v>10755</v>
      </c>
      <c r="B293" s="16">
        <v>38319</v>
      </c>
    </row>
    <row r="294" spans="1:2" x14ac:dyDescent="0.25">
      <c r="A294" s="14">
        <v>10754</v>
      </c>
      <c r="B294" s="16">
        <v>38318</v>
      </c>
    </row>
    <row r="295" spans="1:2" x14ac:dyDescent="0.25">
      <c r="A295" s="14">
        <v>10753</v>
      </c>
      <c r="B295" s="16">
        <v>38318</v>
      </c>
    </row>
    <row r="296" spans="1:2" x14ac:dyDescent="0.25">
      <c r="A296" s="14">
        <v>10752</v>
      </c>
      <c r="B296" s="16">
        <v>38319</v>
      </c>
    </row>
    <row r="297" spans="1:2" x14ac:dyDescent="0.25">
      <c r="A297" s="14">
        <v>10751</v>
      </c>
      <c r="B297" s="16">
        <v>38324</v>
      </c>
    </row>
    <row r="298" spans="1:2" x14ac:dyDescent="0.25">
      <c r="A298" s="14">
        <v>10750</v>
      </c>
      <c r="B298" s="16">
        <v>38315</v>
      </c>
    </row>
    <row r="299" spans="1:2" x14ac:dyDescent="0.25">
      <c r="A299" s="14">
        <v>10749</v>
      </c>
      <c r="B299" s="16">
        <v>38340</v>
      </c>
    </row>
    <row r="300" spans="1:2" x14ac:dyDescent="0.25">
      <c r="A300" s="14">
        <v>10748</v>
      </c>
      <c r="B300" s="16">
        <v>38319</v>
      </c>
    </row>
    <row r="301" spans="1:2" x14ac:dyDescent="0.25">
      <c r="A301" s="14">
        <v>10747</v>
      </c>
      <c r="B301" s="16">
        <v>38317</v>
      </c>
    </row>
    <row r="302" spans="1:2" x14ac:dyDescent="0.25">
      <c r="A302" s="14">
        <v>10746</v>
      </c>
      <c r="B302" s="16">
        <v>38312</v>
      </c>
    </row>
    <row r="303" spans="1:2" x14ac:dyDescent="0.25">
      <c r="A303" s="14">
        <v>10745</v>
      </c>
      <c r="B303" s="16">
        <v>38318</v>
      </c>
    </row>
    <row r="304" spans="1:2" x14ac:dyDescent="0.25">
      <c r="A304" s="14">
        <v>10744</v>
      </c>
      <c r="B304" s="16">
        <v>38315</v>
      </c>
    </row>
    <row r="305" spans="1:2" x14ac:dyDescent="0.25">
      <c r="A305" s="14">
        <v>10743</v>
      </c>
      <c r="B305" s="16">
        <v>38312</v>
      </c>
    </row>
    <row r="306" spans="1:2" x14ac:dyDescent="0.25">
      <c r="A306" s="14">
        <v>10742</v>
      </c>
      <c r="B306" s="16">
        <v>38309</v>
      </c>
    </row>
    <row r="307" spans="1:2" x14ac:dyDescent="0.25">
      <c r="A307" s="14">
        <v>10741</v>
      </c>
      <c r="B307" s="16">
        <v>38309</v>
      </c>
    </row>
    <row r="308" spans="1:2" x14ac:dyDescent="0.25">
      <c r="A308" s="14">
        <v>10740</v>
      </c>
      <c r="B308" s="16">
        <v>38316</v>
      </c>
    </row>
    <row r="309" spans="1:2" x14ac:dyDescent="0.25">
      <c r="A309" s="14">
        <v>10739</v>
      </c>
      <c r="B309" s="16">
        <v>38308</v>
      </c>
    </row>
    <row r="310" spans="1:2" x14ac:dyDescent="0.25">
      <c r="A310" s="14">
        <v>10738</v>
      </c>
      <c r="B310" s="16">
        <v>38309</v>
      </c>
    </row>
    <row r="311" spans="1:2" x14ac:dyDescent="0.25">
      <c r="A311" s="14">
        <v>10737</v>
      </c>
      <c r="B311" s="16">
        <v>38309</v>
      </c>
    </row>
    <row r="312" spans="1:2" x14ac:dyDescent="0.25">
      <c r="A312" s="14">
        <v>10736</v>
      </c>
      <c r="B312" s="16">
        <v>38312</v>
      </c>
    </row>
    <row r="313" spans="1:2" x14ac:dyDescent="0.25">
      <c r="A313" s="14">
        <v>10735</v>
      </c>
      <c r="B313" s="16">
        <v>38312</v>
      </c>
    </row>
    <row r="314" spans="1:2" x14ac:dyDescent="0.25">
      <c r="A314" s="14">
        <v>10734</v>
      </c>
      <c r="B314" s="16">
        <v>38303</v>
      </c>
    </row>
    <row r="315" spans="1:2" x14ac:dyDescent="0.25">
      <c r="A315" s="14">
        <v>10733</v>
      </c>
      <c r="B315" s="16">
        <v>38301</v>
      </c>
    </row>
    <row r="316" spans="1:2" x14ac:dyDescent="0.25">
      <c r="A316" s="14">
        <v>10732</v>
      </c>
      <c r="B316" s="16">
        <v>38298</v>
      </c>
    </row>
    <row r="317" spans="1:2" x14ac:dyDescent="0.25">
      <c r="A317" s="14">
        <v>10731</v>
      </c>
      <c r="B317" s="16">
        <v>38305</v>
      </c>
    </row>
    <row r="318" spans="1:2" x14ac:dyDescent="0.25">
      <c r="A318" s="14">
        <v>10730</v>
      </c>
      <c r="B318" s="16">
        <v>38305</v>
      </c>
    </row>
    <row r="319" spans="1:2" x14ac:dyDescent="0.25">
      <c r="A319" s="14">
        <v>10729</v>
      </c>
      <c r="B319" s="16">
        <v>38305</v>
      </c>
    </row>
    <row r="320" spans="1:2" x14ac:dyDescent="0.25">
      <c r="A320" s="14">
        <v>10728</v>
      </c>
      <c r="B320" s="16">
        <v>38302</v>
      </c>
    </row>
    <row r="321" spans="1:2" x14ac:dyDescent="0.25">
      <c r="A321" s="14">
        <v>10727</v>
      </c>
      <c r="B321" s="16">
        <v>38326</v>
      </c>
    </row>
    <row r="322" spans="1:2" x14ac:dyDescent="0.25">
      <c r="A322" s="14">
        <v>10726</v>
      </c>
      <c r="B322" s="16">
        <v>38326</v>
      </c>
    </row>
    <row r="323" spans="1:2" x14ac:dyDescent="0.25">
      <c r="A323" s="14">
        <v>10725</v>
      </c>
      <c r="B323" s="16">
        <v>38296</v>
      </c>
    </row>
    <row r="324" spans="1:2" x14ac:dyDescent="0.25">
      <c r="A324" s="14">
        <v>10724</v>
      </c>
      <c r="B324" s="16">
        <v>38296</v>
      </c>
    </row>
    <row r="325" spans="1:2" x14ac:dyDescent="0.25">
      <c r="A325" s="14">
        <v>10723</v>
      </c>
      <c r="B325" s="16">
        <v>38316</v>
      </c>
    </row>
    <row r="326" spans="1:2" x14ac:dyDescent="0.25">
      <c r="A326" s="14">
        <v>10722</v>
      </c>
      <c r="B326" s="16">
        <v>38295</v>
      </c>
    </row>
    <row r="327" spans="1:2" x14ac:dyDescent="0.25">
      <c r="A327" s="14">
        <v>10721</v>
      </c>
      <c r="B327" s="16">
        <v>38291</v>
      </c>
    </row>
    <row r="328" spans="1:2" x14ac:dyDescent="0.25">
      <c r="A328" s="14">
        <v>10720</v>
      </c>
      <c r="B328" s="16">
        <v>38296</v>
      </c>
    </row>
    <row r="329" spans="1:2" x14ac:dyDescent="0.25">
      <c r="A329" s="14">
        <v>10719</v>
      </c>
      <c r="B329" s="16">
        <v>38296</v>
      </c>
    </row>
    <row r="330" spans="1:2" x14ac:dyDescent="0.25">
      <c r="A330" s="14">
        <v>10718</v>
      </c>
      <c r="B330" s="16">
        <v>38289</v>
      </c>
    </row>
    <row r="331" spans="1:2" x14ac:dyDescent="0.25">
      <c r="A331" s="14">
        <v>10717</v>
      </c>
      <c r="B331" s="16">
        <v>38289</v>
      </c>
    </row>
    <row r="332" spans="1:2" x14ac:dyDescent="0.25">
      <c r="A332" s="14">
        <v>10716</v>
      </c>
      <c r="B332" s="16">
        <v>38287</v>
      </c>
    </row>
    <row r="333" spans="1:2" x14ac:dyDescent="0.25">
      <c r="A333" s="14">
        <v>10715</v>
      </c>
      <c r="B333" s="16">
        <v>38289</v>
      </c>
    </row>
    <row r="334" spans="1:2" x14ac:dyDescent="0.25">
      <c r="A334" s="14">
        <v>10714</v>
      </c>
      <c r="B334" s="16">
        <v>38287</v>
      </c>
    </row>
    <row r="335" spans="1:2" x14ac:dyDescent="0.25">
      <c r="A335" s="14">
        <v>10713</v>
      </c>
      <c r="B335" s="16">
        <v>38284</v>
      </c>
    </row>
    <row r="336" spans="1:2" x14ac:dyDescent="0.25">
      <c r="A336" s="14">
        <v>10712</v>
      </c>
      <c r="B336" s="16">
        <v>38291</v>
      </c>
    </row>
    <row r="337" spans="1:2" x14ac:dyDescent="0.25">
      <c r="A337" s="14">
        <v>10711</v>
      </c>
      <c r="B337" s="16">
        <v>38289</v>
      </c>
    </row>
    <row r="338" spans="1:2" x14ac:dyDescent="0.25">
      <c r="A338" s="14">
        <v>10710</v>
      </c>
      <c r="B338" s="16">
        <v>38283</v>
      </c>
    </row>
    <row r="339" spans="1:2" x14ac:dyDescent="0.25">
      <c r="A339" s="14">
        <v>10709</v>
      </c>
      <c r="B339" s="16">
        <v>38311</v>
      </c>
    </row>
    <row r="340" spans="1:2" x14ac:dyDescent="0.25">
      <c r="A340" s="14">
        <v>10708</v>
      </c>
      <c r="B340" s="16">
        <v>38296</v>
      </c>
    </row>
    <row r="341" spans="1:2" x14ac:dyDescent="0.25">
      <c r="A341" s="14">
        <v>10707</v>
      </c>
      <c r="B341" s="16">
        <v>38283</v>
      </c>
    </row>
    <row r="342" spans="1:2" x14ac:dyDescent="0.25">
      <c r="A342" s="14">
        <v>10706</v>
      </c>
      <c r="B342" s="16">
        <v>38281</v>
      </c>
    </row>
    <row r="343" spans="1:2" x14ac:dyDescent="0.25">
      <c r="A343" s="14">
        <v>10705</v>
      </c>
      <c r="B343" s="16">
        <v>38309</v>
      </c>
    </row>
    <row r="344" spans="1:2" x14ac:dyDescent="0.25">
      <c r="A344" s="14">
        <v>10704</v>
      </c>
      <c r="B344" s="16">
        <v>38298</v>
      </c>
    </row>
    <row r="345" spans="1:2" x14ac:dyDescent="0.25">
      <c r="A345" s="14">
        <v>10703</v>
      </c>
      <c r="B345" s="16">
        <v>38280</v>
      </c>
    </row>
    <row r="346" spans="1:2" x14ac:dyDescent="0.25">
      <c r="A346" s="14">
        <v>10702</v>
      </c>
      <c r="B346" s="16">
        <v>38281</v>
      </c>
    </row>
    <row r="347" spans="1:2" x14ac:dyDescent="0.25">
      <c r="A347" s="14">
        <v>10701</v>
      </c>
      <c r="B347" s="16">
        <v>38275</v>
      </c>
    </row>
    <row r="348" spans="1:2" x14ac:dyDescent="0.25">
      <c r="A348" s="14">
        <v>10700</v>
      </c>
      <c r="B348" s="16">
        <v>38276</v>
      </c>
    </row>
    <row r="349" spans="1:2" x14ac:dyDescent="0.25">
      <c r="A349" s="14">
        <v>10699</v>
      </c>
      <c r="B349" s="16">
        <v>38273</v>
      </c>
    </row>
    <row r="350" spans="1:2" x14ac:dyDescent="0.25">
      <c r="A350" s="14">
        <v>10698</v>
      </c>
      <c r="B350" s="16">
        <v>38277</v>
      </c>
    </row>
    <row r="351" spans="1:2" x14ac:dyDescent="0.25">
      <c r="A351" s="14">
        <v>10697</v>
      </c>
      <c r="B351" s="16">
        <v>38274</v>
      </c>
    </row>
    <row r="352" spans="1:2" x14ac:dyDescent="0.25">
      <c r="A352" s="14">
        <v>10696</v>
      </c>
      <c r="B352" s="16">
        <v>38274</v>
      </c>
    </row>
    <row r="353" spans="1:2" x14ac:dyDescent="0.25">
      <c r="A353" s="14">
        <v>10695</v>
      </c>
      <c r="B353" s="16">
        <v>38274</v>
      </c>
    </row>
    <row r="354" spans="1:2" x14ac:dyDescent="0.25">
      <c r="A354" s="14">
        <v>10694</v>
      </c>
      <c r="B354" s="16">
        <v>38269</v>
      </c>
    </row>
    <row r="355" spans="1:2" x14ac:dyDescent="0.25">
      <c r="A355" s="14">
        <v>10693</v>
      </c>
      <c r="B355" s="16">
        <v>38270</v>
      </c>
    </row>
    <row r="356" spans="1:2" x14ac:dyDescent="0.25">
      <c r="A356" s="14">
        <v>10692</v>
      </c>
      <c r="B356" s="16">
        <v>38273</v>
      </c>
    </row>
    <row r="357" spans="1:2" x14ac:dyDescent="0.25">
      <c r="A357" s="14">
        <v>10691</v>
      </c>
      <c r="B357" s="16">
        <v>38282</v>
      </c>
    </row>
    <row r="358" spans="1:2" x14ac:dyDescent="0.25">
      <c r="A358" s="14">
        <v>10690</v>
      </c>
      <c r="B358" s="16">
        <v>38263</v>
      </c>
    </row>
    <row r="359" spans="1:2" x14ac:dyDescent="0.25">
      <c r="A359" s="14">
        <v>10689</v>
      </c>
      <c r="B359" s="16">
        <v>38267</v>
      </c>
    </row>
    <row r="360" spans="1:2" x14ac:dyDescent="0.25">
      <c r="A360" s="14">
        <v>10688</v>
      </c>
      <c r="B360" s="16">
        <v>38267</v>
      </c>
    </row>
    <row r="361" spans="1:2" x14ac:dyDescent="0.25">
      <c r="A361" s="14">
        <v>10687</v>
      </c>
      <c r="B361" s="16">
        <v>38290</v>
      </c>
    </row>
    <row r="362" spans="1:2" x14ac:dyDescent="0.25">
      <c r="A362" s="14">
        <v>10686</v>
      </c>
      <c r="B362" s="16">
        <v>38268</v>
      </c>
    </row>
    <row r="363" spans="1:2" x14ac:dyDescent="0.25">
      <c r="A363" s="14">
        <v>10685</v>
      </c>
      <c r="B363" s="16">
        <v>38263</v>
      </c>
    </row>
    <row r="364" spans="1:2" x14ac:dyDescent="0.25">
      <c r="A364" s="14">
        <v>10684</v>
      </c>
      <c r="B364" s="16">
        <v>38260</v>
      </c>
    </row>
    <row r="365" spans="1:2" x14ac:dyDescent="0.25">
      <c r="A365" s="14">
        <v>10683</v>
      </c>
      <c r="B365" s="16">
        <v>38261</v>
      </c>
    </row>
    <row r="366" spans="1:2" x14ac:dyDescent="0.25">
      <c r="A366" s="14">
        <v>10682</v>
      </c>
      <c r="B366" s="16">
        <v>38261</v>
      </c>
    </row>
    <row r="367" spans="1:2" x14ac:dyDescent="0.25">
      <c r="A367" s="14">
        <v>10681</v>
      </c>
      <c r="B367" s="16">
        <v>38260</v>
      </c>
    </row>
    <row r="368" spans="1:2" x14ac:dyDescent="0.25">
      <c r="A368" s="14">
        <v>10680</v>
      </c>
      <c r="B368" s="16">
        <v>38256</v>
      </c>
    </row>
    <row r="369" spans="1:2" x14ac:dyDescent="0.25">
      <c r="A369" s="14">
        <v>10679</v>
      </c>
      <c r="B369" s="16">
        <v>38260</v>
      </c>
    </row>
    <row r="370" spans="1:2" x14ac:dyDescent="0.25">
      <c r="A370" s="14">
        <v>10678</v>
      </c>
      <c r="B370" s="16">
        <v>38276</v>
      </c>
    </row>
    <row r="371" spans="1:2" x14ac:dyDescent="0.25">
      <c r="A371" s="14">
        <v>10677</v>
      </c>
      <c r="B371" s="16">
        <v>38256</v>
      </c>
    </row>
    <row r="372" spans="1:2" x14ac:dyDescent="0.25">
      <c r="A372" s="14">
        <v>10676</v>
      </c>
      <c r="B372" s="16">
        <v>38259</v>
      </c>
    </row>
    <row r="373" spans="1:2" x14ac:dyDescent="0.25">
      <c r="A373" s="14">
        <v>10675</v>
      </c>
      <c r="B373" s="16">
        <v>38253</v>
      </c>
    </row>
    <row r="374" spans="1:2" x14ac:dyDescent="0.25">
      <c r="A374" s="14">
        <v>10674</v>
      </c>
      <c r="B374" s="16">
        <v>38260</v>
      </c>
    </row>
    <row r="375" spans="1:2" x14ac:dyDescent="0.25">
      <c r="A375" s="14">
        <v>10673</v>
      </c>
      <c r="B375" s="16">
        <v>38249</v>
      </c>
    </row>
    <row r="376" spans="1:2" x14ac:dyDescent="0.25">
      <c r="A376" s="14">
        <v>10672</v>
      </c>
      <c r="B376" s="16">
        <v>38256</v>
      </c>
    </row>
    <row r="377" spans="1:2" x14ac:dyDescent="0.25">
      <c r="A377" s="14">
        <v>10671</v>
      </c>
      <c r="B377" s="16">
        <v>38254</v>
      </c>
    </row>
    <row r="378" spans="1:2" x14ac:dyDescent="0.25">
      <c r="A378" s="14">
        <v>10670</v>
      </c>
      <c r="B378" s="16">
        <v>38248</v>
      </c>
    </row>
    <row r="379" spans="1:2" x14ac:dyDescent="0.25">
      <c r="A379" s="14">
        <v>10669</v>
      </c>
      <c r="B379" s="16">
        <v>38252</v>
      </c>
    </row>
    <row r="380" spans="1:2" x14ac:dyDescent="0.25">
      <c r="A380" s="14">
        <v>10668</v>
      </c>
      <c r="B380" s="16">
        <v>38253</v>
      </c>
    </row>
    <row r="381" spans="1:2" x14ac:dyDescent="0.25">
      <c r="A381" s="14">
        <v>10667</v>
      </c>
      <c r="B381" s="16">
        <v>38249</v>
      </c>
    </row>
    <row r="382" spans="1:2" x14ac:dyDescent="0.25">
      <c r="A382" s="14">
        <v>10666</v>
      </c>
      <c r="B382" s="16">
        <v>38252</v>
      </c>
    </row>
    <row r="383" spans="1:2" x14ac:dyDescent="0.25">
      <c r="A383" s="14">
        <v>10665</v>
      </c>
      <c r="B383" s="16">
        <v>38247</v>
      </c>
    </row>
    <row r="384" spans="1:2" x14ac:dyDescent="0.25">
      <c r="A384" s="14">
        <v>10664</v>
      </c>
      <c r="B384" s="16">
        <v>38249</v>
      </c>
    </row>
    <row r="385" spans="1:2" x14ac:dyDescent="0.25">
      <c r="A385" s="14">
        <v>10663</v>
      </c>
      <c r="B385" s="16">
        <v>38263</v>
      </c>
    </row>
    <row r="386" spans="1:2" x14ac:dyDescent="0.25">
      <c r="A386" s="14">
        <v>10662</v>
      </c>
      <c r="B386" s="16">
        <v>38248</v>
      </c>
    </row>
    <row r="387" spans="1:2" x14ac:dyDescent="0.25">
      <c r="A387" s="14">
        <v>10661</v>
      </c>
      <c r="B387" s="16">
        <v>38245</v>
      </c>
    </row>
    <row r="388" spans="1:2" x14ac:dyDescent="0.25">
      <c r="A388" s="14">
        <v>10660</v>
      </c>
      <c r="B388" s="16">
        <v>38275</v>
      </c>
    </row>
    <row r="389" spans="1:2" x14ac:dyDescent="0.25">
      <c r="A389" s="14">
        <v>10659</v>
      </c>
      <c r="B389" s="16">
        <v>38240</v>
      </c>
    </row>
    <row r="390" spans="1:2" x14ac:dyDescent="0.25">
      <c r="A390" s="14">
        <v>10658</v>
      </c>
      <c r="B390" s="16">
        <v>38238</v>
      </c>
    </row>
    <row r="391" spans="1:2" x14ac:dyDescent="0.25">
      <c r="A391" s="14">
        <v>10657</v>
      </c>
      <c r="B391" s="16">
        <v>38245</v>
      </c>
    </row>
    <row r="392" spans="1:2" x14ac:dyDescent="0.25">
      <c r="A392" s="14">
        <v>10656</v>
      </c>
      <c r="B392" s="16">
        <v>38240</v>
      </c>
    </row>
    <row r="393" spans="1:2" x14ac:dyDescent="0.25">
      <c r="A393" s="14">
        <v>10655</v>
      </c>
      <c r="B393" s="16">
        <v>38241</v>
      </c>
    </row>
    <row r="394" spans="1:2" x14ac:dyDescent="0.25">
      <c r="A394" s="14">
        <v>10654</v>
      </c>
      <c r="B394" s="16">
        <v>38241</v>
      </c>
    </row>
    <row r="395" spans="1:2" x14ac:dyDescent="0.25">
      <c r="A395" s="14">
        <v>10653</v>
      </c>
      <c r="B395" s="16">
        <v>38249</v>
      </c>
    </row>
    <row r="396" spans="1:2" x14ac:dyDescent="0.25">
      <c r="A396" s="14">
        <v>10652</v>
      </c>
      <c r="B396" s="16">
        <v>38238</v>
      </c>
    </row>
    <row r="397" spans="1:2" x14ac:dyDescent="0.25">
      <c r="A397" s="14">
        <v>10651</v>
      </c>
      <c r="B397" s="16">
        <v>38241</v>
      </c>
    </row>
    <row r="398" spans="1:2" x14ac:dyDescent="0.25">
      <c r="A398" s="14">
        <v>10650</v>
      </c>
      <c r="B398" s="16">
        <v>38233</v>
      </c>
    </row>
    <row r="399" spans="1:2" x14ac:dyDescent="0.25">
      <c r="A399" s="14">
        <v>10649</v>
      </c>
      <c r="B399" s="16">
        <v>38228</v>
      </c>
    </row>
    <row r="400" spans="1:2" x14ac:dyDescent="0.25">
      <c r="A400" s="14">
        <v>10648</v>
      </c>
      <c r="B400" s="16">
        <v>38239</v>
      </c>
    </row>
    <row r="401" spans="1:2" x14ac:dyDescent="0.25">
      <c r="A401" s="14">
        <v>10647</v>
      </c>
      <c r="B401" s="16">
        <v>38233</v>
      </c>
    </row>
    <row r="402" spans="1:2" x14ac:dyDescent="0.25">
      <c r="A402" s="14">
        <v>10646</v>
      </c>
      <c r="B402" s="16">
        <v>38233</v>
      </c>
    </row>
    <row r="403" spans="1:2" x14ac:dyDescent="0.25">
      <c r="A403" s="14">
        <v>10645</v>
      </c>
      <c r="B403" s="16">
        <v>38232</v>
      </c>
    </row>
    <row r="404" spans="1:2" x14ac:dyDescent="0.25">
      <c r="A404" s="14">
        <v>10644</v>
      </c>
      <c r="B404" s="16">
        <v>38231</v>
      </c>
    </row>
    <row r="405" spans="1:2" x14ac:dyDescent="0.25">
      <c r="A405" s="14">
        <v>10643</v>
      </c>
      <c r="B405" s="16">
        <v>38232</v>
      </c>
    </row>
    <row r="406" spans="1:2" x14ac:dyDescent="0.25">
      <c r="A406" s="14">
        <v>10642</v>
      </c>
      <c r="B406" s="16">
        <v>38235</v>
      </c>
    </row>
    <row r="407" spans="1:2" x14ac:dyDescent="0.25">
      <c r="A407" s="14">
        <v>10641</v>
      </c>
      <c r="B407" s="16">
        <v>38225</v>
      </c>
    </row>
    <row r="408" spans="1:2" x14ac:dyDescent="0.25">
      <c r="A408" s="14">
        <v>10640</v>
      </c>
      <c r="B408" s="16">
        <v>38227</v>
      </c>
    </row>
    <row r="409" spans="1:2" x14ac:dyDescent="0.25">
      <c r="A409" s="14">
        <v>10639</v>
      </c>
      <c r="B409" s="16">
        <v>38226</v>
      </c>
    </row>
    <row r="410" spans="1:2" x14ac:dyDescent="0.25">
      <c r="A410" s="14">
        <v>10638</v>
      </c>
      <c r="B410" s="16">
        <v>38231</v>
      </c>
    </row>
    <row r="411" spans="1:2" x14ac:dyDescent="0.25">
      <c r="A411" s="14">
        <v>10637</v>
      </c>
      <c r="B411" s="16">
        <v>38225</v>
      </c>
    </row>
    <row r="412" spans="1:2" x14ac:dyDescent="0.25">
      <c r="A412" s="14">
        <v>10636</v>
      </c>
      <c r="B412" s="16">
        <v>38225</v>
      </c>
    </row>
    <row r="413" spans="1:2" x14ac:dyDescent="0.25">
      <c r="A413" s="14">
        <v>10635</v>
      </c>
      <c r="B413" s="16">
        <v>38220</v>
      </c>
    </row>
    <row r="414" spans="1:2" x14ac:dyDescent="0.25">
      <c r="A414" s="14">
        <v>10634</v>
      </c>
      <c r="B414" s="16">
        <v>38220</v>
      </c>
    </row>
    <row r="415" spans="1:2" x14ac:dyDescent="0.25">
      <c r="A415" s="14">
        <v>10633</v>
      </c>
      <c r="B415" s="16">
        <v>38217</v>
      </c>
    </row>
    <row r="416" spans="1:2" x14ac:dyDescent="0.25">
      <c r="A416" s="14">
        <v>10632</v>
      </c>
      <c r="B416" s="16">
        <v>38218</v>
      </c>
    </row>
    <row r="417" spans="1:2" x14ac:dyDescent="0.25">
      <c r="A417" s="14">
        <v>10631</v>
      </c>
      <c r="B417" s="16">
        <v>38214</v>
      </c>
    </row>
    <row r="418" spans="1:2" x14ac:dyDescent="0.25">
      <c r="A418" s="14">
        <v>10630</v>
      </c>
      <c r="B418" s="16">
        <v>38218</v>
      </c>
    </row>
    <row r="419" spans="1:2" x14ac:dyDescent="0.25">
      <c r="A419" s="14">
        <v>10629</v>
      </c>
      <c r="B419" s="16">
        <v>38219</v>
      </c>
    </row>
    <row r="420" spans="1:2" x14ac:dyDescent="0.25">
      <c r="A420" s="14">
        <v>10628</v>
      </c>
      <c r="B420" s="16">
        <v>38219</v>
      </c>
    </row>
    <row r="421" spans="1:2" x14ac:dyDescent="0.25">
      <c r="A421" s="14">
        <v>10627</v>
      </c>
      <c r="B421" s="16">
        <v>38220</v>
      </c>
    </row>
    <row r="422" spans="1:2" x14ac:dyDescent="0.25">
      <c r="A422" s="14">
        <v>10626</v>
      </c>
      <c r="B422" s="16">
        <v>38219</v>
      </c>
    </row>
    <row r="423" spans="1:2" x14ac:dyDescent="0.25">
      <c r="A423" s="14">
        <v>10625</v>
      </c>
      <c r="B423" s="16">
        <v>38213</v>
      </c>
    </row>
    <row r="424" spans="1:2" x14ac:dyDescent="0.25">
      <c r="A424" s="14">
        <v>10624</v>
      </c>
      <c r="B424" s="16">
        <v>38218</v>
      </c>
    </row>
    <row r="425" spans="1:2" x14ac:dyDescent="0.25">
      <c r="A425" s="14">
        <v>10623</v>
      </c>
      <c r="B425" s="16">
        <v>38211</v>
      </c>
    </row>
    <row r="426" spans="1:2" x14ac:dyDescent="0.25">
      <c r="A426" s="14">
        <v>10622</v>
      </c>
      <c r="B426" s="16">
        <v>38210</v>
      </c>
    </row>
    <row r="427" spans="1:2" x14ac:dyDescent="0.25">
      <c r="A427" s="14">
        <v>10621</v>
      </c>
      <c r="B427" s="16">
        <v>38210</v>
      </c>
    </row>
    <row r="428" spans="1:2" x14ac:dyDescent="0.25">
      <c r="A428" s="14">
        <v>10620</v>
      </c>
      <c r="B428" s="16">
        <v>38213</v>
      </c>
    </row>
    <row r="429" spans="1:2" x14ac:dyDescent="0.25">
      <c r="A429" s="14">
        <v>10619</v>
      </c>
      <c r="B429" s="16">
        <v>38206</v>
      </c>
    </row>
    <row r="430" spans="1:2" x14ac:dyDescent="0.25">
      <c r="A430" s="14">
        <v>10618</v>
      </c>
      <c r="B430" s="16">
        <v>38207</v>
      </c>
    </row>
    <row r="431" spans="1:2" x14ac:dyDescent="0.25">
      <c r="A431" s="14">
        <v>10617</v>
      </c>
      <c r="B431" s="16">
        <v>38203</v>
      </c>
    </row>
    <row r="432" spans="1:2" x14ac:dyDescent="0.25">
      <c r="A432" s="14">
        <v>10616</v>
      </c>
      <c r="B432" s="16">
        <v>38204</v>
      </c>
    </row>
    <row r="433" spans="1:2" x14ac:dyDescent="0.25">
      <c r="A433" s="14">
        <v>10615</v>
      </c>
      <c r="B433" s="16">
        <v>38205</v>
      </c>
    </row>
    <row r="434" spans="1:2" x14ac:dyDescent="0.25">
      <c r="A434" s="14">
        <v>10614</v>
      </c>
      <c r="B434" s="16">
        <v>38200</v>
      </c>
    </row>
    <row r="435" spans="1:2" x14ac:dyDescent="0.25">
      <c r="A435" s="14">
        <v>10613</v>
      </c>
      <c r="B435" s="16">
        <v>38200</v>
      </c>
    </row>
    <row r="436" spans="1:2" x14ac:dyDescent="0.25">
      <c r="A436" s="14">
        <v>10612</v>
      </c>
      <c r="B436" s="16">
        <v>38200</v>
      </c>
    </row>
    <row r="437" spans="1:2" x14ac:dyDescent="0.25">
      <c r="A437" s="14">
        <v>10611</v>
      </c>
      <c r="B437" s="16">
        <v>38200</v>
      </c>
    </row>
    <row r="438" spans="1:2" x14ac:dyDescent="0.25">
      <c r="A438" s="14">
        <v>10610</v>
      </c>
      <c r="B438" s="16">
        <v>38205</v>
      </c>
    </row>
    <row r="439" spans="1:2" x14ac:dyDescent="0.25">
      <c r="A439" s="14">
        <v>10609</v>
      </c>
      <c r="B439" s="16">
        <v>38198</v>
      </c>
    </row>
    <row r="440" spans="1:2" x14ac:dyDescent="0.25">
      <c r="A440" s="14">
        <v>10608</v>
      </c>
      <c r="B440" s="16">
        <v>38200</v>
      </c>
    </row>
    <row r="441" spans="1:2" x14ac:dyDescent="0.25">
      <c r="A441" s="14">
        <v>10607</v>
      </c>
      <c r="B441" s="16">
        <v>38193</v>
      </c>
    </row>
    <row r="442" spans="1:2" x14ac:dyDescent="0.25">
      <c r="A442" s="14">
        <v>10606</v>
      </c>
      <c r="B442" s="16">
        <v>38199</v>
      </c>
    </row>
    <row r="443" spans="1:2" x14ac:dyDescent="0.25">
      <c r="A443" s="14">
        <v>10605</v>
      </c>
      <c r="B443" s="16">
        <v>38197</v>
      </c>
    </row>
    <row r="444" spans="1:2" x14ac:dyDescent="0.25">
      <c r="A444" s="14">
        <v>10604</v>
      </c>
      <c r="B444" s="16">
        <v>38197</v>
      </c>
    </row>
    <row r="445" spans="1:2" x14ac:dyDescent="0.25">
      <c r="A445" s="14">
        <v>10603</v>
      </c>
      <c r="B445" s="16">
        <v>38207</v>
      </c>
    </row>
    <row r="446" spans="1:2" x14ac:dyDescent="0.25">
      <c r="A446" s="14">
        <v>10602</v>
      </c>
      <c r="B446" s="16">
        <v>38190</v>
      </c>
    </row>
    <row r="447" spans="1:2" x14ac:dyDescent="0.25">
      <c r="A447" s="14">
        <v>10601</v>
      </c>
      <c r="B447" s="16">
        <v>38190</v>
      </c>
    </row>
    <row r="448" spans="1:2" x14ac:dyDescent="0.25">
      <c r="A448" s="14">
        <v>10600</v>
      </c>
      <c r="B448" s="16">
        <v>38189</v>
      </c>
    </row>
    <row r="449" spans="1:2" x14ac:dyDescent="0.25">
      <c r="A449" s="14">
        <v>10599</v>
      </c>
      <c r="B449" s="16">
        <v>38189</v>
      </c>
    </row>
    <row r="450" spans="1:2" x14ac:dyDescent="0.25">
      <c r="A450" s="14">
        <v>10598</v>
      </c>
      <c r="B450" s="16">
        <v>38186</v>
      </c>
    </row>
    <row r="451" spans="1:2" x14ac:dyDescent="0.25">
      <c r="A451" s="14">
        <v>10597</v>
      </c>
      <c r="B451" s="16">
        <v>38186</v>
      </c>
    </row>
    <row r="452" spans="1:2" x14ac:dyDescent="0.25">
      <c r="A452" s="14">
        <v>10596</v>
      </c>
      <c r="B452" s="16">
        <v>38211</v>
      </c>
    </row>
    <row r="453" spans="1:2" x14ac:dyDescent="0.25">
      <c r="A453" s="14">
        <v>10595</v>
      </c>
      <c r="B453" s="16">
        <v>38182</v>
      </c>
    </row>
    <row r="454" spans="1:2" x14ac:dyDescent="0.25">
      <c r="A454" s="14">
        <v>10594</v>
      </c>
      <c r="B454" s="16">
        <v>38184</v>
      </c>
    </row>
    <row r="455" spans="1:2" x14ac:dyDescent="0.25">
      <c r="A455" s="14">
        <v>10593</v>
      </c>
      <c r="B455" s="16">
        <v>38212</v>
      </c>
    </row>
    <row r="456" spans="1:2" x14ac:dyDescent="0.25">
      <c r="A456" s="14">
        <v>10592</v>
      </c>
      <c r="B456" s="16">
        <v>38184</v>
      </c>
    </row>
    <row r="457" spans="1:2" x14ac:dyDescent="0.25">
      <c r="A457" s="14">
        <v>10591</v>
      </c>
      <c r="B457" s="16">
        <v>38184</v>
      </c>
    </row>
    <row r="458" spans="1:2" x14ac:dyDescent="0.25">
      <c r="A458" s="14">
        <v>10590</v>
      </c>
      <c r="B458" s="16">
        <v>38182</v>
      </c>
    </row>
    <row r="459" spans="1:2" x14ac:dyDescent="0.25">
      <c r="A459" s="14">
        <v>10589</v>
      </c>
      <c r="B459" s="16">
        <v>38182</v>
      </c>
    </row>
    <row r="460" spans="1:2" x14ac:dyDescent="0.25">
      <c r="A460" s="14">
        <v>10588</v>
      </c>
      <c r="B460" s="16">
        <v>38178</v>
      </c>
    </row>
    <row r="461" spans="1:2" x14ac:dyDescent="0.25">
      <c r="A461" s="14">
        <v>10587</v>
      </c>
      <c r="B461" s="16">
        <v>38177</v>
      </c>
    </row>
    <row r="462" spans="1:2" x14ac:dyDescent="0.25">
      <c r="A462" s="14">
        <v>10586</v>
      </c>
      <c r="B462" s="16">
        <v>38177</v>
      </c>
    </row>
    <row r="463" spans="1:2" x14ac:dyDescent="0.25">
      <c r="A463" s="14">
        <v>10585</v>
      </c>
      <c r="B463" s="16">
        <v>38178</v>
      </c>
    </row>
    <row r="464" spans="1:2" x14ac:dyDescent="0.25">
      <c r="A464" s="14">
        <v>10584</v>
      </c>
      <c r="B464" s="16">
        <v>38172</v>
      </c>
    </row>
    <row r="465" spans="1:2" x14ac:dyDescent="0.25">
      <c r="A465" s="14">
        <v>10583</v>
      </c>
      <c r="B465" s="16">
        <v>38172</v>
      </c>
    </row>
    <row r="466" spans="1:2" x14ac:dyDescent="0.25">
      <c r="A466" s="14">
        <v>10582</v>
      </c>
      <c r="B466" s="16">
        <v>38182</v>
      </c>
    </row>
    <row r="467" spans="1:2" x14ac:dyDescent="0.25">
      <c r="A467" s="14">
        <v>10581</v>
      </c>
      <c r="B467" s="16">
        <v>38170</v>
      </c>
    </row>
    <row r="468" spans="1:2" x14ac:dyDescent="0.25">
      <c r="A468" s="14">
        <v>10580</v>
      </c>
      <c r="B468" s="16">
        <v>38169</v>
      </c>
    </row>
    <row r="469" spans="1:2" x14ac:dyDescent="0.25">
      <c r="A469" s="14">
        <v>10579</v>
      </c>
      <c r="B469" s="16">
        <v>38172</v>
      </c>
    </row>
    <row r="470" spans="1:2" x14ac:dyDescent="0.25">
      <c r="A470" s="14">
        <v>10578</v>
      </c>
      <c r="B470" s="16">
        <v>38193</v>
      </c>
    </row>
    <row r="471" spans="1:2" x14ac:dyDescent="0.25">
      <c r="A471" s="14">
        <v>10577</v>
      </c>
      <c r="B471" s="16">
        <v>38168</v>
      </c>
    </row>
    <row r="472" spans="1:2" x14ac:dyDescent="0.25">
      <c r="A472" s="14">
        <v>10576</v>
      </c>
      <c r="B472" s="16">
        <v>38168</v>
      </c>
    </row>
    <row r="473" spans="1:2" x14ac:dyDescent="0.25">
      <c r="A473" s="14">
        <v>10575</v>
      </c>
      <c r="B473" s="16">
        <v>38168</v>
      </c>
    </row>
    <row r="474" spans="1:2" x14ac:dyDescent="0.25">
      <c r="A474" s="14">
        <v>10574</v>
      </c>
      <c r="B474" s="16">
        <v>38168</v>
      </c>
    </row>
    <row r="475" spans="1:2" x14ac:dyDescent="0.25">
      <c r="A475" s="14">
        <v>10573</v>
      </c>
      <c r="B475" s="16">
        <v>38158</v>
      </c>
    </row>
    <row r="476" spans="1:2" x14ac:dyDescent="0.25">
      <c r="A476" s="14">
        <v>10572</v>
      </c>
      <c r="B476" s="16">
        <v>38163</v>
      </c>
    </row>
    <row r="477" spans="1:2" x14ac:dyDescent="0.25">
      <c r="A477" s="14">
        <v>10571</v>
      </c>
      <c r="B477" s="16">
        <v>38172</v>
      </c>
    </row>
    <row r="478" spans="1:2" x14ac:dyDescent="0.25">
      <c r="A478" s="14">
        <v>10570</v>
      </c>
      <c r="B478" s="16">
        <v>38157</v>
      </c>
    </row>
    <row r="479" spans="1:2" x14ac:dyDescent="0.25">
      <c r="A479" s="14">
        <v>10569</v>
      </c>
      <c r="B479" s="16">
        <v>38179</v>
      </c>
    </row>
    <row r="480" spans="1:2" x14ac:dyDescent="0.25">
      <c r="A480" s="14">
        <v>10568</v>
      </c>
      <c r="B480" s="16">
        <v>38177</v>
      </c>
    </row>
    <row r="481" spans="1:2" x14ac:dyDescent="0.25">
      <c r="A481" s="14">
        <v>10567</v>
      </c>
      <c r="B481" s="16">
        <v>38155</v>
      </c>
    </row>
    <row r="482" spans="1:2" x14ac:dyDescent="0.25">
      <c r="A482" s="14">
        <v>10566</v>
      </c>
      <c r="B482" s="16">
        <v>38156</v>
      </c>
    </row>
    <row r="483" spans="1:2" x14ac:dyDescent="0.25">
      <c r="A483" s="14">
        <v>10565</v>
      </c>
      <c r="B483" s="16">
        <v>38156</v>
      </c>
    </row>
    <row r="484" spans="1:2" x14ac:dyDescent="0.25">
      <c r="A484" s="14">
        <v>10564</v>
      </c>
      <c r="B484" s="16">
        <v>38154</v>
      </c>
    </row>
    <row r="485" spans="1:2" x14ac:dyDescent="0.25">
      <c r="A485" s="14">
        <v>10563</v>
      </c>
      <c r="B485" s="16">
        <v>38162</v>
      </c>
    </row>
    <row r="486" spans="1:2" x14ac:dyDescent="0.25">
      <c r="A486" s="14">
        <v>10562</v>
      </c>
      <c r="B486" s="16">
        <v>38150</v>
      </c>
    </row>
    <row r="487" spans="1:2" x14ac:dyDescent="0.25">
      <c r="A487" s="14">
        <v>10561</v>
      </c>
      <c r="B487" s="16">
        <v>38147</v>
      </c>
    </row>
    <row r="488" spans="1:2" x14ac:dyDescent="0.25">
      <c r="A488" s="14">
        <v>10560</v>
      </c>
      <c r="B488" s="16">
        <v>38147</v>
      </c>
    </row>
    <row r="489" spans="1:2" x14ac:dyDescent="0.25">
      <c r="A489" s="14">
        <v>10559</v>
      </c>
      <c r="B489" s="16">
        <v>38151</v>
      </c>
    </row>
    <row r="490" spans="1:2" x14ac:dyDescent="0.25">
      <c r="A490" s="14">
        <v>10558</v>
      </c>
      <c r="B490" s="16">
        <v>38148</v>
      </c>
    </row>
    <row r="491" spans="1:2" x14ac:dyDescent="0.25">
      <c r="A491" s="14">
        <v>10557</v>
      </c>
      <c r="B491" s="16">
        <v>38144</v>
      </c>
    </row>
    <row r="492" spans="1:2" x14ac:dyDescent="0.25">
      <c r="A492" s="14">
        <v>10556</v>
      </c>
      <c r="B492" s="16">
        <v>38151</v>
      </c>
    </row>
    <row r="493" spans="1:2" x14ac:dyDescent="0.25">
      <c r="A493" s="14">
        <v>10555</v>
      </c>
      <c r="B493" s="16">
        <v>38142</v>
      </c>
    </row>
    <row r="494" spans="1:2" x14ac:dyDescent="0.25">
      <c r="A494" s="14">
        <v>10554</v>
      </c>
      <c r="B494" s="16">
        <v>38143</v>
      </c>
    </row>
    <row r="495" spans="1:2" x14ac:dyDescent="0.25">
      <c r="A495" s="14">
        <v>10553</v>
      </c>
      <c r="B495" s="16">
        <v>38141</v>
      </c>
    </row>
    <row r="496" spans="1:2" x14ac:dyDescent="0.25">
      <c r="A496" s="14">
        <v>10552</v>
      </c>
      <c r="B496" s="16">
        <v>38143</v>
      </c>
    </row>
    <row r="497" spans="1:2" x14ac:dyDescent="0.25">
      <c r="A497" s="14">
        <v>10551</v>
      </c>
      <c r="B497" s="16">
        <v>38144</v>
      </c>
    </row>
    <row r="498" spans="1:2" x14ac:dyDescent="0.25">
      <c r="A498" s="14">
        <v>10550</v>
      </c>
      <c r="B498" s="16">
        <v>38144</v>
      </c>
    </row>
    <row r="499" spans="1:2" x14ac:dyDescent="0.25">
      <c r="A499" s="14">
        <v>10549</v>
      </c>
      <c r="B499" s="16">
        <v>38137</v>
      </c>
    </row>
    <row r="500" spans="1:2" x14ac:dyDescent="0.25">
      <c r="A500" s="14">
        <v>10548</v>
      </c>
      <c r="B500" s="16">
        <v>38140</v>
      </c>
    </row>
    <row r="501" spans="1:2" x14ac:dyDescent="0.25">
      <c r="A501" s="14">
        <v>10547</v>
      </c>
      <c r="B501" s="16">
        <v>38140</v>
      </c>
    </row>
    <row r="502" spans="1:2" x14ac:dyDescent="0.25">
      <c r="A502" s="14">
        <v>10546</v>
      </c>
      <c r="B502" s="16">
        <v>38134</v>
      </c>
    </row>
    <row r="503" spans="1:2" x14ac:dyDescent="0.25">
      <c r="A503" s="14">
        <v>10545</v>
      </c>
      <c r="B503" s="16">
        <v>38164</v>
      </c>
    </row>
    <row r="504" spans="1:2" x14ac:dyDescent="0.25">
      <c r="A504" s="14">
        <v>10544</v>
      </c>
      <c r="B504" s="16">
        <v>38137</v>
      </c>
    </row>
    <row r="505" spans="1:2" x14ac:dyDescent="0.25">
      <c r="A505" s="14">
        <v>10543</v>
      </c>
      <c r="B505" s="16">
        <v>38130</v>
      </c>
    </row>
    <row r="506" spans="1:2" x14ac:dyDescent="0.25">
      <c r="A506" s="14">
        <v>10542</v>
      </c>
      <c r="B506" s="16">
        <v>38133</v>
      </c>
    </row>
    <row r="507" spans="1:2" x14ac:dyDescent="0.25">
      <c r="A507" s="14">
        <v>10541</v>
      </c>
      <c r="B507" s="16">
        <v>38136</v>
      </c>
    </row>
    <row r="508" spans="1:2" x14ac:dyDescent="0.25">
      <c r="A508" s="14">
        <v>10540</v>
      </c>
      <c r="B508" s="16">
        <v>38151</v>
      </c>
    </row>
    <row r="509" spans="1:2" x14ac:dyDescent="0.25">
      <c r="A509" s="14">
        <v>10539</v>
      </c>
      <c r="B509" s="16">
        <v>38130</v>
      </c>
    </row>
    <row r="510" spans="1:2" x14ac:dyDescent="0.25">
      <c r="A510" s="14">
        <v>10538</v>
      </c>
      <c r="B510" s="16">
        <v>38123</v>
      </c>
    </row>
    <row r="511" spans="1:2" x14ac:dyDescent="0.25">
      <c r="A511" s="14">
        <v>10537</v>
      </c>
      <c r="B511" s="16">
        <v>38126</v>
      </c>
    </row>
    <row r="512" spans="1:2" x14ac:dyDescent="0.25">
      <c r="A512" s="14">
        <v>10536</v>
      </c>
      <c r="B512" s="16">
        <v>38144</v>
      </c>
    </row>
    <row r="513" spans="1:2" x14ac:dyDescent="0.25">
      <c r="A513" s="14">
        <v>10535</v>
      </c>
      <c r="B513" s="16">
        <v>38128</v>
      </c>
    </row>
    <row r="514" spans="1:2" x14ac:dyDescent="0.25">
      <c r="A514" s="14">
        <v>10534</v>
      </c>
      <c r="B514" s="16">
        <v>38121</v>
      </c>
    </row>
    <row r="515" spans="1:2" x14ac:dyDescent="0.25">
      <c r="A515" s="14">
        <v>10533</v>
      </c>
      <c r="B515" s="16">
        <v>38129</v>
      </c>
    </row>
    <row r="516" spans="1:2" x14ac:dyDescent="0.25">
      <c r="A516" s="14">
        <v>10532</v>
      </c>
      <c r="B516" s="16">
        <v>38119</v>
      </c>
    </row>
    <row r="517" spans="1:2" x14ac:dyDescent="0.25">
      <c r="A517" s="14">
        <v>10531</v>
      </c>
      <c r="B517" s="16">
        <v>38126</v>
      </c>
    </row>
    <row r="518" spans="1:2" x14ac:dyDescent="0.25">
      <c r="A518" s="14">
        <v>10530</v>
      </c>
      <c r="B518" s="16">
        <v>38119</v>
      </c>
    </row>
    <row r="519" spans="1:2" x14ac:dyDescent="0.25">
      <c r="A519" s="14">
        <v>10529</v>
      </c>
      <c r="B519" s="16">
        <v>38116</v>
      </c>
    </row>
    <row r="520" spans="1:2" x14ac:dyDescent="0.25">
      <c r="A520" s="14">
        <v>10528</v>
      </c>
      <c r="B520" s="16">
        <v>38116</v>
      </c>
    </row>
    <row r="521" spans="1:2" x14ac:dyDescent="0.25">
      <c r="A521" s="14">
        <v>10527</v>
      </c>
      <c r="B521" s="16">
        <v>38114</v>
      </c>
    </row>
    <row r="522" spans="1:2" x14ac:dyDescent="0.25">
      <c r="A522" s="14">
        <v>10526</v>
      </c>
      <c r="B522" s="16">
        <v>38122</v>
      </c>
    </row>
    <row r="523" spans="1:2" x14ac:dyDescent="0.25">
      <c r="A523" s="14">
        <v>10525</v>
      </c>
      <c r="B523" s="16">
        <v>38130</v>
      </c>
    </row>
    <row r="524" spans="1:2" x14ac:dyDescent="0.25">
      <c r="A524" s="14">
        <v>10524</v>
      </c>
      <c r="B524" s="16">
        <v>38114</v>
      </c>
    </row>
    <row r="525" spans="1:2" x14ac:dyDescent="0.25">
      <c r="A525" s="14">
        <v>10523</v>
      </c>
      <c r="B525" s="16">
        <v>38137</v>
      </c>
    </row>
    <row r="526" spans="1:2" x14ac:dyDescent="0.25">
      <c r="A526" s="14">
        <v>10522</v>
      </c>
      <c r="B526" s="16">
        <v>38113</v>
      </c>
    </row>
    <row r="527" spans="1:2" x14ac:dyDescent="0.25">
      <c r="A527" s="14">
        <v>10521</v>
      </c>
      <c r="B527" s="16">
        <v>38109</v>
      </c>
    </row>
    <row r="528" spans="1:2" x14ac:dyDescent="0.25">
      <c r="A528" s="14">
        <v>10520</v>
      </c>
      <c r="B528" s="16">
        <v>38108</v>
      </c>
    </row>
    <row r="529" spans="1:2" x14ac:dyDescent="0.25">
      <c r="A529" s="14">
        <v>10519</v>
      </c>
      <c r="B529" s="16">
        <v>38108</v>
      </c>
    </row>
    <row r="530" spans="1:2" x14ac:dyDescent="0.25">
      <c r="A530" s="14">
        <v>10518</v>
      </c>
      <c r="B530" s="16">
        <v>38112</v>
      </c>
    </row>
    <row r="531" spans="1:2" x14ac:dyDescent="0.25">
      <c r="A531" s="14">
        <v>10517</v>
      </c>
      <c r="B531" s="16">
        <v>38106</v>
      </c>
    </row>
    <row r="532" spans="1:2" x14ac:dyDescent="0.25">
      <c r="A532" s="14">
        <v>10516</v>
      </c>
      <c r="B532" s="16">
        <v>38108</v>
      </c>
    </row>
    <row r="533" spans="1:2" x14ac:dyDescent="0.25">
      <c r="A533" s="14">
        <v>10515</v>
      </c>
      <c r="B533" s="16">
        <v>38130</v>
      </c>
    </row>
    <row r="534" spans="1:2" x14ac:dyDescent="0.25">
      <c r="A534" s="14">
        <v>10514</v>
      </c>
      <c r="B534" s="16">
        <v>38123</v>
      </c>
    </row>
    <row r="535" spans="1:2" x14ac:dyDescent="0.25">
      <c r="A535" s="14">
        <v>10513</v>
      </c>
      <c r="B535" s="16">
        <v>38105</v>
      </c>
    </row>
    <row r="536" spans="1:2" x14ac:dyDescent="0.25">
      <c r="A536" s="14">
        <v>10512</v>
      </c>
      <c r="B536" s="16">
        <v>38101</v>
      </c>
    </row>
    <row r="537" spans="1:2" x14ac:dyDescent="0.25">
      <c r="A537" s="14">
        <v>10511</v>
      </c>
      <c r="B537" s="16">
        <v>38098</v>
      </c>
    </row>
    <row r="538" spans="1:2" x14ac:dyDescent="0.25">
      <c r="A538" s="14">
        <v>10510</v>
      </c>
      <c r="B538" s="16">
        <v>38105</v>
      </c>
    </row>
    <row r="539" spans="1:2" x14ac:dyDescent="0.25">
      <c r="A539" s="14">
        <v>10509</v>
      </c>
      <c r="B539" s="16">
        <v>38106</v>
      </c>
    </row>
    <row r="540" spans="1:2" x14ac:dyDescent="0.25">
      <c r="A540" s="14">
        <v>10508</v>
      </c>
      <c r="B540" s="16">
        <v>38120</v>
      </c>
    </row>
    <row r="541" spans="1:2" x14ac:dyDescent="0.25">
      <c r="A541" s="14">
        <v>10507</v>
      </c>
      <c r="B541" s="16">
        <v>38099</v>
      </c>
    </row>
    <row r="542" spans="1:2" x14ac:dyDescent="0.25">
      <c r="A542" s="14">
        <v>10506</v>
      </c>
      <c r="B542" s="16">
        <v>38109</v>
      </c>
    </row>
    <row r="543" spans="1:2" x14ac:dyDescent="0.25">
      <c r="A543" s="14">
        <v>10505</v>
      </c>
      <c r="B543" s="16">
        <v>38098</v>
      </c>
    </row>
    <row r="544" spans="1:2" x14ac:dyDescent="0.25">
      <c r="A544" s="14">
        <v>10504</v>
      </c>
      <c r="B544" s="16">
        <v>38095</v>
      </c>
    </row>
    <row r="545" spans="1:2" x14ac:dyDescent="0.25">
      <c r="A545" s="14">
        <v>10503</v>
      </c>
      <c r="B545" s="16">
        <v>38093</v>
      </c>
    </row>
    <row r="546" spans="1:2" x14ac:dyDescent="0.25">
      <c r="A546" s="14">
        <v>10502</v>
      </c>
      <c r="B546" s="16">
        <v>38106</v>
      </c>
    </row>
    <row r="547" spans="1:2" x14ac:dyDescent="0.25">
      <c r="A547" s="14">
        <v>10501</v>
      </c>
      <c r="B547" s="16">
        <v>38093</v>
      </c>
    </row>
    <row r="548" spans="1:2" x14ac:dyDescent="0.25">
      <c r="A548" s="14">
        <v>10500</v>
      </c>
      <c r="B548" s="16">
        <v>38094</v>
      </c>
    </row>
    <row r="549" spans="1:2" x14ac:dyDescent="0.25">
      <c r="A549" s="14">
        <v>10499</v>
      </c>
      <c r="B549" s="16">
        <v>38093</v>
      </c>
    </row>
    <row r="550" spans="1:2" x14ac:dyDescent="0.25">
      <c r="A550" s="14">
        <v>10498</v>
      </c>
      <c r="B550" s="16">
        <v>38088</v>
      </c>
    </row>
    <row r="551" spans="1:2" x14ac:dyDescent="0.25">
      <c r="A551" s="14">
        <v>10497</v>
      </c>
      <c r="B551" s="16">
        <v>38084</v>
      </c>
    </row>
    <row r="552" spans="1:2" x14ac:dyDescent="0.25">
      <c r="A552" s="14">
        <v>10496</v>
      </c>
      <c r="B552" s="16">
        <v>38084</v>
      </c>
    </row>
    <row r="553" spans="1:2" x14ac:dyDescent="0.25">
      <c r="A553" s="14">
        <v>10495</v>
      </c>
      <c r="B553" s="16">
        <v>38088</v>
      </c>
    </row>
    <row r="554" spans="1:2" x14ac:dyDescent="0.25">
      <c r="A554" s="14">
        <v>10494</v>
      </c>
      <c r="B554" s="16">
        <v>38086</v>
      </c>
    </row>
    <row r="555" spans="1:2" x14ac:dyDescent="0.25">
      <c r="A555" s="14">
        <v>10493</v>
      </c>
      <c r="B555" s="16">
        <v>38087</v>
      </c>
    </row>
    <row r="556" spans="1:2" x14ac:dyDescent="0.25">
      <c r="A556" s="14">
        <v>10492</v>
      </c>
      <c r="B556" s="16">
        <v>38088</v>
      </c>
    </row>
    <row r="557" spans="1:2" x14ac:dyDescent="0.25">
      <c r="A557" s="14">
        <v>10491</v>
      </c>
      <c r="B557" s="16">
        <v>38085</v>
      </c>
    </row>
    <row r="558" spans="1:2" x14ac:dyDescent="0.25">
      <c r="A558" s="14">
        <v>10490</v>
      </c>
      <c r="B558" s="16">
        <v>38080</v>
      </c>
    </row>
    <row r="559" spans="1:2" x14ac:dyDescent="0.25">
      <c r="A559" s="14">
        <v>10489</v>
      </c>
      <c r="B559" s="16">
        <v>38086</v>
      </c>
    </row>
    <row r="560" spans="1:2" x14ac:dyDescent="0.25">
      <c r="A560" s="14">
        <v>10488</v>
      </c>
      <c r="B560" s="16">
        <v>38079</v>
      </c>
    </row>
    <row r="561" spans="1:2" x14ac:dyDescent="0.25">
      <c r="A561" s="14">
        <v>10487</v>
      </c>
      <c r="B561" s="16">
        <v>38074</v>
      </c>
    </row>
    <row r="562" spans="1:2" x14ac:dyDescent="0.25">
      <c r="A562" s="14">
        <v>10486</v>
      </c>
      <c r="B562" s="16">
        <v>38079</v>
      </c>
    </row>
    <row r="563" spans="1:2" x14ac:dyDescent="0.25">
      <c r="A563" s="14">
        <v>10485</v>
      </c>
      <c r="B563" s="16">
        <v>38077</v>
      </c>
    </row>
    <row r="564" spans="1:2" x14ac:dyDescent="0.25">
      <c r="A564" s="14">
        <v>10484</v>
      </c>
      <c r="B564" s="16">
        <v>38078</v>
      </c>
    </row>
    <row r="565" spans="1:2" x14ac:dyDescent="0.25">
      <c r="A565" s="14">
        <v>10483</v>
      </c>
      <c r="B565" s="16">
        <v>38102</v>
      </c>
    </row>
    <row r="566" spans="1:2" x14ac:dyDescent="0.25">
      <c r="A566" s="14">
        <v>10482</v>
      </c>
      <c r="B566" s="16">
        <v>38087</v>
      </c>
    </row>
    <row r="567" spans="1:2" x14ac:dyDescent="0.25">
      <c r="A567" s="14">
        <v>10481</v>
      </c>
      <c r="B567" s="16">
        <v>38071</v>
      </c>
    </row>
    <row r="568" spans="1:2" x14ac:dyDescent="0.25">
      <c r="A568" s="14">
        <v>10480</v>
      </c>
      <c r="B568" s="16">
        <v>38070</v>
      </c>
    </row>
    <row r="569" spans="1:2" x14ac:dyDescent="0.25">
      <c r="A569" s="14">
        <v>10479</v>
      </c>
      <c r="B569" s="16">
        <v>38067</v>
      </c>
    </row>
    <row r="570" spans="1:2" x14ac:dyDescent="0.25">
      <c r="A570" s="14">
        <v>10478</v>
      </c>
      <c r="B570" s="16">
        <v>38072</v>
      </c>
    </row>
    <row r="571" spans="1:2" x14ac:dyDescent="0.25">
      <c r="A571" s="14">
        <v>10477</v>
      </c>
      <c r="B571" s="16">
        <v>38071</v>
      </c>
    </row>
    <row r="572" spans="1:2" x14ac:dyDescent="0.25">
      <c r="A572" s="14">
        <v>10476</v>
      </c>
      <c r="B572" s="16">
        <v>38070</v>
      </c>
    </row>
    <row r="573" spans="1:2" x14ac:dyDescent="0.25">
      <c r="A573" s="14">
        <v>10475</v>
      </c>
      <c r="B573" s="16">
        <v>38081</v>
      </c>
    </row>
    <row r="574" spans="1:2" x14ac:dyDescent="0.25">
      <c r="A574" s="14">
        <v>10474</v>
      </c>
      <c r="B574" s="16">
        <v>38067</v>
      </c>
    </row>
    <row r="575" spans="1:2" x14ac:dyDescent="0.25">
      <c r="A575" s="14">
        <v>10473</v>
      </c>
      <c r="B575" s="16">
        <v>38067</v>
      </c>
    </row>
    <row r="576" spans="1:2" x14ac:dyDescent="0.25">
      <c r="A576" s="14">
        <v>10472</v>
      </c>
      <c r="B576" s="16">
        <v>38065</v>
      </c>
    </row>
    <row r="577" spans="1:2" x14ac:dyDescent="0.25">
      <c r="A577" s="14">
        <v>10471</v>
      </c>
      <c r="B577" s="16">
        <v>38064</v>
      </c>
    </row>
    <row r="578" spans="1:2" x14ac:dyDescent="0.25">
      <c r="A578" s="14">
        <v>10470</v>
      </c>
      <c r="B578" s="16">
        <v>38060</v>
      </c>
    </row>
    <row r="579" spans="1:2" x14ac:dyDescent="0.25">
      <c r="A579" s="14">
        <v>10469</v>
      </c>
      <c r="B579" s="16">
        <v>38060</v>
      </c>
    </row>
    <row r="580" spans="1:2" x14ac:dyDescent="0.25">
      <c r="A580" s="14">
        <v>10468</v>
      </c>
      <c r="B580" s="16">
        <v>38058</v>
      </c>
    </row>
    <row r="581" spans="1:2" x14ac:dyDescent="0.25">
      <c r="A581" s="14">
        <v>10467</v>
      </c>
      <c r="B581" s="16">
        <v>38057</v>
      </c>
    </row>
    <row r="582" spans="1:2" x14ac:dyDescent="0.25">
      <c r="A582" s="14">
        <v>10466</v>
      </c>
      <c r="B582" s="16">
        <v>38059</v>
      </c>
    </row>
    <row r="583" spans="1:2" x14ac:dyDescent="0.25">
      <c r="A583" s="14">
        <v>10465</v>
      </c>
      <c r="B583" s="16">
        <v>38060</v>
      </c>
    </row>
    <row r="584" spans="1:2" x14ac:dyDescent="0.25">
      <c r="A584" s="14">
        <v>10464</v>
      </c>
      <c r="B584" s="16">
        <v>38060</v>
      </c>
    </row>
    <row r="585" spans="1:2" x14ac:dyDescent="0.25">
      <c r="A585" s="14">
        <v>10463</v>
      </c>
      <c r="B585" s="16">
        <v>38052</v>
      </c>
    </row>
    <row r="586" spans="1:2" x14ac:dyDescent="0.25">
      <c r="A586" s="14">
        <v>10462</v>
      </c>
      <c r="B586" s="16">
        <v>38064</v>
      </c>
    </row>
    <row r="587" spans="1:2" x14ac:dyDescent="0.25">
      <c r="A587" s="14">
        <v>10461</v>
      </c>
      <c r="B587" s="16">
        <v>38051</v>
      </c>
    </row>
    <row r="588" spans="1:2" x14ac:dyDescent="0.25">
      <c r="A588" s="14">
        <v>10460</v>
      </c>
      <c r="B588" s="16">
        <v>38049</v>
      </c>
    </row>
    <row r="589" spans="1:2" x14ac:dyDescent="0.25">
      <c r="A589" s="14">
        <v>10459</v>
      </c>
      <c r="B589" s="16">
        <v>38045</v>
      </c>
    </row>
    <row r="590" spans="1:2" x14ac:dyDescent="0.25">
      <c r="A590" s="14">
        <v>10458</v>
      </c>
      <c r="B590" s="16">
        <v>38050</v>
      </c>
    </row>
    <row r="591" spans="1:2" x14ac:dyDescent="0.25">
      <c r="A591" s="14">
        <v>10457</v>
      </c>
      <c r="B591" s="16">
        <v>38049</v>
      </c>
    </row>
    <row r="592" spans="1:2" x14ac:dyDescent="0.25">
      <c r="A592" s="14">
        <v>10456</v>
      </c>
      <c r="B592" s="16">
        <v>38045</v>
      </c>
    </row>
    <row r="593" spans="1:2" x14ac:dyDescent="0.25">
      <c r="A593" s="14">
        <v>10455</v>
      </c>
      <c r="B593" s="16">
        <v>38049</v>
      </c>
    </row>
    <row r="594" spans="1:2" x14ac:dyDescent="0.25">
      <c r="A594" s="14">
        <v>10454</v>
      </c>
      <c r="B594" s="16">
        <v>38042</v>
      </c>
    </row>
    <row r="595" spans="1:2" x14ac:dyDescent="0.25">
      <c r="A595" s="14">
        <v>10453</v>
      </c>
      <c r="B595" s="16">
        <v>38043</v>
      </c>
    </row>
    <row r="596" spans="1:2" x14ac:dyDescent="0.25">
      <c r="A596" s="14">
        <v>10452</v>
      </c>
      <c r="B596" s="16">
        <v>38043</v>
      </c>
    </row>
    <row r="597" spans="1:2" x14ac:dyDescent="0.25">
      <c r="A597" s="14">
        <v>10451</v>
      </c>
      <c r="B597" s="16">
        <v>38058</v>
      </c>
    </row>
    <row r="598" spans="1:2" x14ac:dyDescent="0.25">
      <c r="A598" s="14">
        <v>10450</v>
      </c>
      <c r="B598" s="16">
        <v>38057</v>
      </c>
    </row>
    <row r="599" spans="1:2" x14ac:dyDescent="0.25">
      <c r="A599" s="14">
        <v>10449</v>
      </c>
      <c r="B599" s="16">
        <v>38044</v>
      </c>
    </row>
    <row r="600" spans="1:2" x14ac:dyDescent="0.25">
      <c r="A600" s="14">
        <v>10448</v>
      </c>
      <c r="B600" s="16">
        <v>38041</v>
      </c>
    </row>
    <row r="601" spans="1:2" x14ac:dyDescent="0.25">
      <c r="A601" s="14">
        <v>10447</v>
      </c>
      <c r="B601" s="16">
        <v>38053</v>
      </c>
    </row>
    <row r="602" spans="1:2" x14ac:dyDescent="0.25">
      <c r="A602" s="14">
        <v>10446</v>
      </c>
      <c r="B602" s="16">
        <v>38036</v>
      </c>
    </row>
    <row r="603" spans="1:2" x14ac:dyDescent="0.25">
      <c r="A603" s="14">
        <v>10445</v>
      </c>
      <c r="B603" s="16">
        <v>38037</v>
      </c>
    </row>
    <row r="604" spans="1:2" x14ac:dyDescent="0.25">
      <c r="A604" s="14">
        <v>10444</v>
      </c>
      <c r="B604" s="16">
        <v>38038</v>
      </c>
    </row>
    <row r="605" spans="1:2" x14ac:dyDescent="0.25">
      <c r="A605" s="14">
        <v>10443</v>
      </c>
      <c r="B605" s="16">
        <v>38031</v>
      </c>
    </row>
    <row r="606" spans="1:2" x14ac:dyDescent="0.25">
      <c r="A606" s="14">
        <v>10442</v>
      </c>
      <c r="B606" s="16">
        <v>38035</v>
      </c>
    </row>
    <row r="607" spans="1:2" x14ac:dyDescent="0.25">
      <c r="A607" s="14">
        <v>10441</v>
      </c>
      <c r="B607" s="16">
        <v>38060</v>
      </c>
    </row>
    <row r="608" spans="1:2" x14ac:dyDescent="0.25">
      <c r="A608" s="14">
        <v>10440</v>
      </c>
      <c r="B608" s="16">
        <v>38045</v>
      </c>
    </row>
    <row r="609" spans="1:2" x14ac:dyDescent="0.25">
      <c r="A609" s="14">
        <v>10439</v>
      </c>
      <c r="B609" s="16">
        <v>38027</v>
      </c>
    </row>
    <row r="610" spans="1:2" x14ac:dyDescent="0.25">
      <c r="A610" s="14">
        <v>10438</v>
      </c>
      <c r="B610" s="16">
        <v>38031</v>
      </c>
    </row>
    <row r="611" spans="1:2" x14ac:dyDescent="0.25">
      <c r="A611" s="14">
        <v>10437</v>
      </c>
      <c r="B611" s="16">
        <v>38029</v>
      </c>
    </row>
    <row r="612" spans="1:2" x14ac:dyDescent="0.25">
      <c r="A612" s="14">
        <v>10436</v>
      </c>
      <c r="B612" s="16">
        <v>38028</v>
      </c>
    </row>
    <row r="613" spans="1:2" x14ac:dyDescent="0.25">
      <c r="A613" s="14">
        <v>10435</v>
      </c>
      <c r="B613" s="16">
        <v>38024</v>
      </c>
    </row>
    <row r="614" spans="1:2" x14ac:dyDescent="0.25">
      <c r="A614" s="14">
        <v>10434</v>
      </c>
      <c r="B614" s="16">
        <v>38030</v>
      </c>
    </row>
    <row r="615" spans="1:2" x14ac:dyDescent="0.25">
      <c r="A615" s="14">
        <v>10433</v>
      </c>
      <c r="B615" s="16">
        <v>38050</v>
      </c>
    </row>
    <row r="616" spans="1:2" x14ac:dyDescent="0.25">
      <c r="A616" s="14">
        <v>10432</v>
      </c>
      <c r="B616" s="16">
        <v>38024</v>
      </c>
    </row>
    <row r="617" spans="1:2" x14ac:dyDescent="0.25">
      <c r="A617" s="14">
        <v>10431</v>
      </c>
      <c r="B617" s="16">
        <v>38024</v>
      </c>
    </row>
    <row r="618" spans="1:2" x14ac:dyDescent="0.25">
      <c r="A618" s="14">
        <v>10430</v>
      </c>
      <c r="B618" s="16">
        <v>38020</v>
      </c>
    </row>
    <row r="619" spans="1:2" x14ac:dyDescent="0.25">
      <c r="A619" s="14">
        <v>10429</v>
      </c>
      <c r="B619" s="16">
        <v>38024</v>
      </c>
    </row>
    <row r="620" spans="1:2" x14ac:dyDescent="0.25">
      <c r="A620" s="14">
        <v>10428</v>
      </c>
      <c r="B620" s="16">
        <v>38021</v>
      </c>
    </row>
    <row r="621" spans="1:2" x14ac:dyDescent="0.25">
      <c r="A621" s="14">
        <v>10427</v>
      </c>
      <c r="B621" s="16">
        <v>38049</v>
      </c>
    </row>
    <row r="622" spans="1:2" x14ac:dyDescent="0.25">
      <c r="A622" s="14">
        <v>10426</v>
      </c>
      <c r="B622" s="16">
        <v>38023</v>
      </c>
    </row>
    <row r="623" spans="1:2" x14ac:dyDescent="0.25">
      <c r="A623" s="14">
        <v>10425</v>
      </c>
      <c r="B623" s="16">
        <v>38031</v>
      </c>
    </row>
    <row r="624" spans="1:2" x14ac:dyDescent="0.25">
      <c r="A624" s="14">
        <v>10424</v>
      </c>
      <c r="B624" s="16">
        <v>38013</v>
      </c>
    </row>
    <row r="625" spans="1:2" x14ac:dyDescent="0.25">
      <c r="A625" s="14">
        <v>10423</v>
      </c>
      <c r="B625" s="16">
        <v>38041</v>
      </c>
    </row>
    <row r="626" spans="1:2" x14ac:dyDescent="0.25">
      <c r="A626" s="14">
        <v>10422</v>
      </c>
      <c r="B626" s="16">
        <v>38017</v>
      </c>
    </row>
    <row r="627" spans="1:2" x14ac:dyDescent="0.25">
      <c r="A627" s="14">
        <v>10421</v>
      </c>
      <c r="B627" s="16">
        <v>38013</v>
      </c>
    </row>
    <row r="628" spans="1:2" x14ac:dyDescent="0.25">
      <c r="A628" s="14">
        <v>10420</v>
      </c>
      <c r="B628" s="16">
        <v>38013</v>
      </c>
    </row>
    <row r="629" spans="1:2" x14ac:dyDescent="0.25">
      <c r="A629" s="14">
        <v>10419</v>
      </c>
      <c r="B629" s="16">
        <v>38016</v>
      </c>
    </row>
    <row r="630" spans="1:2" x14ac:dyDescent="0.25">
      <c r="A630" s="14">
        <v>10418</v>
      </c>
      <c r="B630" s="16">
        <v>38010</v>
      </c>
    </row>
    <row r="631" spans="1:2" x14ac:dyDescent="0.25">
      <c r="A631" s="14">
        <v>10417</v>
      </c>
      <c r="B631" s="16">
        <v>38014</v>
      </c>
    </row>
    <row r="632" spans="1:2" x14ac:dyDescent="0.25">
      <c r="A632" s="14">
        <v>10416</v>
      </c>
      <c r="B632" s="16">
        <v>38013</v>
      </c>
    </row>
    <row r="633" spans="1:2" x14ac:dyDescent="0.25">
      <c r="A633" s="14">
        <v>10415</v>
      </c>
      <c r="B633" s="16">
        <v>38010</v>
      </c>
    </row>
    <row r="634" spans="1:2" x14ac:dyDescent="0.25">
      <c r="A634" s="14">
        <v>10414</v>
      </c>
      <c r="B634" s="16">
        <v>38003</v>
      </c>
    </row>
    <row r="635" spans="1:2" x14ac:dyDescent="0.25">
      <c r="A635" s="14">
        <v>10413</v>
      </c>
      <c r="B635" s="16">
        <v>38002</v>
      </c>
    </row>
    <row r="636" spans="1:2" x14ac:dyDescent="0.25">
      <c r="A636" s="14">
        <v>10412</v>
      </c>
      <c r="B636" s="16">
        <v>38001</v>
      </c>
    </row>
    <row r="637" spans="1:2" x14ac:dyDescent="0.25">
      <c r="A637" s="14">
        <v>10411</v>
      </c>
      <c r="B637" s="16">
        <v>38007</v>
      </c>
    </row>
    <row r="638" spans="1:2" x14ac:dyDescent="0.25">
      <c r="A638" s="14">
        <v>10410</v>
      </c>
      <c r="B638" s="16">
        <v>38001</v>
      </c>
    </row>
    <row r="639" spans="1:2" x14ac:dyDescent="0.25">
      <c r="A639" s="14">
        <v>10409</v>
      </c>
      <c r="B639" s="16">
        <v>38000</v>
      </c>
    </row>
    <row r="640" spans="1:2" x14ac:dyDescent="0.25">
      <c r="A640" s="14">
        <v>10408</v>
      </c>
      <c r="B640" s="16">
        <v>38000</v>
      </c>
    </row>
    <row r="641" spans="1:2" x14ac:dyDescent="0.25">
      <c r="A641" s="14">
        <v>10407</v>
      </c>
      <c r="B641" s="16">
        <v>38016</v>
      </c>
    </row>
    <row r="642" spans="1:2" x14ac:dyDescent="0.25">
      <c r="A642" s="14">
        <v>10406</v>
      </c>
      <c r="B642" s="16">
        <v>37999</v>
      </c>
    </row>
    <row r="643" spans="1:2" x14ac:dyDescent="0.25">
      <c r="A643" s="14">
        <v>10405</v>
      </c>
      <c r="B643" s="16">
        <v>38008</v>
      </c>
    </row>
    <row r="644" spans="1:2" x14ac:dyDescent="0.25">
      <c r="A644" s="14">
        <v>10404</v>
      </c>
      <c r="B644" s="16">
        <v>37994</v>
      </c>
    </row>
    <row r="645" spans="1:2" x14ac:dyDescent="0.25">
      <c r="A645" s="14">
        <v>10403</v>
      </c>
      <c r="B645" s="16">
        <v>37995</v>
      </c>
    </row>
    <row r="646" spans="1:2" x14ac:dyDescent="0.25">
      <c r="A646" s="14">
        <v>10402</v>
      </c>
      <c r="B646" s="16">
        <v>37996</v>
      </c>
    </row>
    <row r="647" spans="1:2" x14ac:dyDescent="0.25">
      <c r="A647" s="14">
        <v>10401</v>
      </c>
      <c r="B647" s="16">
        <v>37996</v>
      </c>
    </row>
    <row r="648" spans="1:2" x14ac:dyDescent="0.25">
      <c r="A648" s="14">
        <v>10400</v>
      </c>
      <c r="B648" s="16">
        <v>38002</v>
      </c>
    </row>
    <row r="649" spans="1:2" x14ac:dyDescent="0.25">
      <c r="A649" s="14">
        <v>10399</v>
      </c>
      <c r="B649" s="16">
        <v>37994</v>
      </c>
    </row>
    <row r="650" spans="1:2" x14ac:dyDescent="0.25">
      <c r="A650" s="14">
        <v>10398</v>
      </c>
      <c r="B650" s="16">
        <v>37995</v>
      </c>
    </row>
    <row r="651" spans="1:2" x14ac:dyDescent="0.25">
      <c r="A651" s="14">
        <v>10397</v>
      </c>
      <c r="B651" s="16">
        <v>37988</v>
      </c>
    </row>
    <row r="652" spans="1:2" x14ac:dyDescent="0.25">
      <c r="A652" s="14">
        <v>10396</v>
      </c>
      <c r="B652" s="16">
        <v>37992</v>
      </c>
    </row>
    <row r="653" spans="1:2" x14ac:dyDescent="0.25">
      <c r="A653" s="14">
        <v>10395</v>
      </c>
      <c r="B653" s="16">
        <v>37989</v>
      </c>
    </row>
    <row r="654" spans="1:2" x14ac:dyDescent="0.25">
      <c r="A654" s="14">
        <v>10394</v>
      </c>
      <c r="B654" s="16">
        <v>37989</v>
      </c>
    </row>
    <row r="655" spans="1:2" x14ac:dyDescent="0.25">
      <c r="A655" s="14">
        <v>10393</v>
      </c>
      <c r="B655" s="16">
        <v>37989</v>
      </c>
    </row>
    <row r="656" spans="1:2" x14ac:dyDescent="0.25">
      <c r="A656" s="14">
        <v>10392</v>
      </c>
      <c r="B656" s="16">
        <v>37987</v>
      </c>
    </row>
    <row r="657" spans="1:2" x14ac:dyDescent="0.25">
      <c r="A657" s="14">
        <v>10391</v>
      </c>
      <c r="B657" s="16">
        <v>37986</v>
      </c>
    </row>
    <row r="658" spans="1:2" x14ac:dyDescent="0.25">
      <c r="A658" s="14">
        <v>10390</v>
      </c>
      <c r="B658" s="16">
        <v>37981</v>
      </c>
    </row>
    <row r="659" spans="1:2" x14ac:dyDescent="0.25">
      <c r="A659" s="14">
        <v>10389</v>
      </c>
      <c r="B659" s="16">
        <v>37979</v>
      </c>
    </row>
    <row r="660" spans="1:2" x14ac:dyDescent="0.25">
      <c r="A660" s="14">
        <v>10388</v>
      </c>
      <c r="B660" s="16">
        <v>37975</v>
      </c>
    </row>
    <row r="661" spans="1:2" x14ac:dyDescent="0.25">
      <c r="A661" s="14">
        <v>10387</v>
      </c>
      <c r="B661" s="16">
        <v>37975</v>
      </c>
    </row>
    <row r="662" spans="1:2" x14ac:dyDescent="0.25">
      <c r="A662" s="14">
        <v>10386</v>
      </c>
      <c r="B662" s="16">
        <v>37980</v>
      </c>
    </row>
    <row r="663" spans="1:2" x14ac:dyDescent="0.25">
      <c r="A663" s="14">
        <v>10385</v>
      </c>
      <c r="B663" s="16">
        <v>37978</v>
      </c>
    </row>
    <row r="664" spans="1:2" x14ac:dyDescent="0.25">
      <c r="A664" s="14">
        <v>10384</v>
      </c>
      <c r="B664" s="16">
        <v>37975</v>
      </c>
    </row>
    <row r="665" spans="1:2" x14ac:dyDescent="0.25">
      <c r="A665" s="14">
        <v>10383</v>
      </c>
      <c r="B665" s="16">
        <v>37973</v>
      </c>
    </row>
    <row r="666" spans="1:2" x14ac:dyDescent="0.25">
      <c r="A666" s="14">
        <v>10382</v>
      </c>
      <c r="B666" s="16">
        <v>37971</v>
      </c>
    </row>
    <row r="667" spans="1:2" x14ac:dyDescent="0.25">
      <c r="A667" s="14">
        <v>10381</v>
      </c>
      <c r="B667" s="16">
        <v>37968</v>
      </c>
    </row>
    <row r="668" spans="1:2" x14ac:dyDescent="0.25">
      <c r="A668" s="14">
        <v>10380</v>
      </c>
      <c r="B668" s="16">
        <v>38002</v>
      </c>
    </row>
    <row r="669" spans="1:2" x14ac:dyDescent="0.25">
      <c r="A669" s="14">
        <v>10379</v>
      </c>
      <c r="B669" s="16">
        <v>37968</v>
      </c>
    </row>
    <row r="670" spans="1:2" x14ac:dyDescent="0.25">
      <c r="A670" s="14">
        <v>10378</v>
      </c>
      <c r="B670" s="16">
        <v>37974</v>
      </c>
    </row>
    <row r="671" spans="1:2" x14ac:dyDescent="0.25">
      <c r="A671" s="14">
        <v>10377</v>
      </c>
      <c r="B671" s="16">
        <v>37968</v>
      </c>
    </row>
    <row r="672" spans="1:2" x14ac:dyDescent="0.25">
      <c r="A672" s="14">
        <v>10376</v>
      </c>
      <c r="B672" s="16">
        <v>37968</v>
      </c>
    </row>
    <row r="673" spans="1:2" x14ac:dyDescent="0.25">
      <c r="A673" s="14">
        <v>10375</v>
      </c>
      <c r="B673" s="16">
        <v>37964</v>
      </c>
    </row>
    <row r="674" spans="1:2" x14ac:dyDescent="0.25">
      <c r="A674" s="14">
        <v>10374</v>
      </c>
      <c r="B674" s="16">
        <v>37964</v>
      </c>
    </row>
    <row r="675" spans="1:2" x14ac:dyDescent="0.25">
      <c r="A675" s="14">
        <v>10373</v>
      </c>
      <c r="B675" s="16">
        <v>37966</v>
      </c>
    </row>
    <row r="676" spans="1:2" x14ac:dyDescent="0.25">
      <c r="A676" s="14">
        <v>10372</v>
      </c>
      <c r="B676" s="16">
        <v>37964</v>
      </c>
    </row>
    <row r="677" spans="1:2" x14ac:dyDescent="0.25">
      <c r="A677" s="14">
        <v>10371</v>
      </c>
      <c r="B677" s="16">
        <v>37979</v>
      </c>
    </row>
    <row r="678" spans="1:2" x14ac:dyDescent="0.25">
      <c r="A678" s="14">
        <v>10370</v>
      </c>
      <c r="B678" s="16">
        <v>37982</v>
      </c>
    </row>
    <row r="679" spans="1:2" x14ac:dyDescent="0.25">
      <c r="A679" s="14">
        <v>10369</v>
      </c>
      <c r="B679" s="16">
        <v>37964</v>
      </c>
    </row>
    <row r="680" spans="1:2" x14ac:dyDescent="0.25">
      <c r="A680" s="14">
        <v>10368</v>
      </c>
      <c r="B680" s="16">
        <v>37957</v>
      </c>
    </row>
    <row r="681" spans="1:2" x14ac:dyDescent="0.25">
      <c r="A681" s="14">
        <v>10367</v>
      </c>
      <c r="B681" s="16">
        <v>37957</v>
      </c>
    </row>
    <row r="682" spans="1:2" x14ac:dyDescent="0.25">
      <c r="A682" s="14">
        <v>10366</v>
      </c>
      <c r="B682" s="16">
        <v>37985</v>
      </c>
    </row>
    <row r="683" spans="1:2" x14ac:dyDescent="0.25">
      <c r="A683" s="14">
        <v>10365</v>
      </c>
      <c r="B683" s="16">
        <v>37957</v>
      </c>
    </row>
    <row r="684" spans="1:2" x14ac:dyDescent="0.25">
      <c r="A684" s="14">
        <v>10364</v>
      </c>
      <c r="B684" s="16">
        <v>37959</v>
      </c>
    </row>
    <row r="685" spans="1:2" x14ac:dyDescent="0.25">
      <c r="A685" s="14">
        <v>10363</v>
      </c>
      <c r="B685" s="16">
        <v>37959</v>
      </c>
    </row>
    <row r="686" spans="1:2" x14ac:dyDescent="0.25">
      <c r="A686" s="14">
        <v>10362</v>
      </c>
      <c r="B686" s="16">
        <v>37953</v>
      </c>
    </row>
    <row r="687" spans="1:2" x14ac:dyDescent="0.25">
      <c r="A687" s="14">
        <v>10361</v>
      </c>
      <c r="B687" s="16">
        <v>37958</v>
      </c>
    </row>
    <row r="688" spans="1:2" x14ac:dyDescent="0.25">
      <c r="A688" s="14">
        <v>10360</v>
      </c>
      <c r="B688" s="16">
        <v>37957</v>
      </c>
    </row>
    <row r="689" spans="1:2" x14ac:dyDescent="0.25">
      <c r="A689" s="14">
        <v>10359</v>
      </c>
      <c r="B689" s="16">
        <v>37951</v>
      </c>
    </row>
    <row r="690" spans="1:2" x14ac:dyDescent="0.25">
      <c r="A690" s="14">
        <v>10358</v>
      </c>
      <c r="B690" s="16">
        <v>37952</v>
      </c>
    </row>
    <row r="691" spans="1:2" x14ac:dyDescent="0.25">
      <c r="A691" s="14">
        <v>10357</v>
      </c>
      <c r="B691" s="16">
        <v>37957</v>
      </c>
    </row>
    <row r="692" spans="1:2" x14ac:dyDescent="0.25">
      <c r="A692" s="14">
        <v>10356</v>
      </c>
      <c r="B692" s="16">
        <v>37952</v>
      </c>
    </row>
    <row r="693" spans="1:2" x14ac:dyDescent="0.25">
      <c r="A693" s="14">
        <v>10355</v>
      </c>
      <c r="B693" s="16">
        <v>37945</v>
      </c>
    </row>
    <row r="694" spans="1:2" x14ac:dyDescent="0.25">
      <c r="A694" s="14">
        <v>10354</v>
      </c>
      <c r="B694" s="16">
        <v>37945</v>
      </c>
    </row>
    <row r="695" spans="1:2" x14ac:dyDescent="0.25">
      <c r="A695" s="14">
        <v>10353</v>
      </c>
      <c r="B695" s="16">
        <v>37950</v>
      </c>
    </row>
    <row r="696" spans="1:2" x14ac:dyDescent="0.25">
      <c r="A696" s="14">
        <v>10352</v>
      </c>
      <c r="B696" s="16">
        <v>37943</v>
      </c>
    </row>
    <row r="697" spans="1:2" x14ac:dyDescent="0.25">
      <c r="A697" s="14">
        <v>10351</v>
      </c>
      <c r="B697" s="16">
        <v>37945</v>
      </c>
    </row>
    <row r="698" spans="1:2" x14ac:dyDescent="0.25">
      <c r="A698" s="14">
        <v>10350</v>
      </c>
      <c r="B698" s="16">
        <v>37958</v>
      </c>
    </row>
    <row r="699" spans="1:2" x14ac:dyDescent="0.25">
      <c r="A699" s="14">
        <v>10349</v>
      </c>
      <c r="B699" s="16">
        <v>37940</v>
      </c>
    </row>
    <row r="700" spans="1:2" x14ac:dyDescent="0.25">
      <c r="A700" s="14">
        <v>10348</v>
      </c>
      <c r="B700" s="16">
        <v>37940</v>
      </c>
    </row>
    <row r="701" spans="1:2" x14ac:dyDescent="0.25">
      <c r="A701" s="14">
        <v>10347</v>
      </c>
      <c r="B701" s="16">
        <v>37933</v>
      </c>
    </row>
    <row r="702" spans="1:2" x14ac:dyDescent="0.25">
      <c r="A702" s="14">
        <v>10346</v>
      </c>
      <c r="B702" s="16">
        <v>37933</v>
      </c>
    </row>
    <row r="703" spans="1:2" x14ac:dyDescent="0.25">
      <c r="A703" s="14">
        <v>10345</v>
      </c>
      <c r="B703" s="16">
        <v>37936</v>
      </c>
    </row>
    <row r="704" spans="1:2" x14ac:dyDescent="0.25">
      <c r="A704" s="14">
        <v>10344</v>
      </c>
      <c r="B704" s="16">
        <v>37930</v>
      </c>
    </row>
    <row r="705" spans="1:2" x14ac:dyDescent="0.25">
      <c r="A705" s="14">
        <v>10343</v>
      </c>
      <c r="B705" s="16">
        <v>37931</v>
      </c>
    </row>
    <row r="706" spans="1:2" x14ac:dyDescent="0.25">
      <c r="A706" s="14">
        <v>10342</v>
      </c>
      <c r="B706" s="16">
        <v>37929</v>
      </c>
    </row>
    <row r="707" spans="1:2" x14ac:dyDescent="0.25">
      <c r="A707" s="14">
        <v>10341</v>
      </c>
      <c r="B707" s="16">
        <v>37930</v>
      </c>
    </row>
    <row r="708" spans="1:2" x14ac:dyDescent="0.25">
      <c r="A708" s="14">
        <v>10340</v>
      </c>
      <c r="B708" s="16">
        <v>37933</v>
      </c>
    </row>
    <row r="709" spans="1:2" x14ac:dyDescent="0.25">
      <c r="A709" s="14">
        <v>10339</v>
      </c>
      <c r="B709" s="16">
        <v>37929</v>
      </c>
    </row>
    <row r="710" spans="1:2" x14ac:dyDescent="0.25">
      <c r="A710" s="14">
        <v>10338</v>
      </c>
      <c r="B710" s="16">
        <v>37923</v>
      </c>
    </row>
    <row r="711" spans="1:2" x14ac:dyDescent="0.25">
      <c r="A711" s="14">
        <v>10337</v>
      </c>
      <c r="B711" s="16">
        <v>37923</v>
      </c>
    </row>
    <row r="712" spans="1:2" x14ac:dyDescent="0.25">
      <c r="A712" s="14">
        <v>10336</v>
      </c>
      <c r="B712" s="16">
        <v>37919</v>
      </c>
    </row>
    <row r="713" spans="1:2" x14ac:dyDescent="0.25">
      <c r="A713" s="14">
        <v>10335</v>
      </c>
      <c r="B713" s="16">
        <v>37918</v>
      </c>
    </row>
    <row r="714" spans="1:2" x14ac:dyDescent="0.25">
      <c r="A714" s="14">
        <v>10334</v>
      </c>
      <c r="B714" s="16">
        <v>37922</v>
      </c>
    </row>
    <row r="715" spans="1:2" x14ac:dyDescent="0.25">
      <c r="A715" s="14">
        <v>10333</v>
      </c>
      <c r="B715" s="16">
        <v>37919</v>
      </c>
    </row>
    <row r="716" spans="1:2" x14ac:dyDescent="0.25">
      <c r="A716" s="14">
        <v>10332</v>
      </c>
      <c r="B716" s="16">
        <v>37915</v>
      </c>
    </row>
    <row r="717" spans="1:2" x14ac:dyDescent="0.25">
      <c r="A717" s="14">
        <v>10331</v>
      </c>
      <c r="B717" s="16">
        <v>37915</v>
      </c>
    </row>
    <row r="718" spans="1:2" x14ac:dyDescent="0.25">
      <c r="A718" s="14">
        <v>10330</v>
      </c>
      <c r="B718" s="16">
        <v>37922</v>
      </c>
    </row>
    <row r="719" spans="1:2" x14ac:dyDescent="0.25">
      <c r="A719" s="14">
        <v>10329</v>
      </c>
      <c r="B719" s="16">
        <v>37917</v>
      </c>
    </row>
    <row r="720" spans="1:2" x14ac:dyDescent="0.25">
      <c r="A720" s="14">
        <v>10328</v>
      </c>
      <c r="B720" s="16">
        <v>37911</v>
      </c>
    </row>
    <row r="721" spans="1:2" x14ac:dyDescent="0.25">
      <c r="A721" s="14">
        <v>10327</v>
      </c>
      <c r="B721" s="16">
        <v>37908</v>
      </c>
    </row>
    <row r="722" spans="1:2" x14ac:dyDescent="0.25">
      <c r="A722" s="14">
        <v>10326</v>
      </c>
      <c r="B722" s="16">
        <v>37908</v>
      </c>
    </row>
    <row r="723" spans="1:2" x14ac:dyDescent="0.25">
      <c r="A723" s="14">
        <v>10325</v>
      </c>
      <c r="B723" s="16">
        <v>37908</v>
      </c>
    </row>
    <row r="724" spans="1:2" x14ac:dyDescent="0.25">
      <c r="A724" s="14">
        <v>10324</v>
      </c>
      <c r="B724" s="16">
        <v>37904</v>
      </c>
    </row>
    <row r="725" spans="1:2" x14ac:dyDescent="0.25">
      <c r="A725" s="14">
        <v>10323</v>
      </c>
      <c r="B725" s="16">
        <v>37908</v>
      </c>
    </row>
    <row r="726" spans="1:2" x14ac:dyDescent="0.25">
      <c r="A726" s="14">
        <v>10322</v>
      </c>
      <c r="B726" s="16">
        <v>37917</v>
      </c>
    </row>
    <row r="727" spans="1:2" x14ac:dyDescent="0.25">
      <c r="A727" s="14">
        <v>10321</v>
      </c>
      <c r="B727" s="16">
        <v>37905</v>
      </c>
    </row>
    <row r="728" spans="1:2" x14ac:dyDescent="0.25">
      <c r="A728" s="14">
        <v>10320</v>
      </c>
      <c r="B728" s="16">
        <v>37912</v>
      </c>
    </row>
    <row r="729" spans="1:2" x14ac:dyDescent="0.25">
      <c r="A729" s="14">
        <v>10319</v>
      </c>
      <c r="B729" s="16">
        <v>37905</v>
      </c>
    </row>
    <row r="730" spans="1:2" x14ac:dyDescent="0.25">
      <c r="A730" s="14">
        <v>10318</v>
      </c>
      <c r="B730" s="16">
        <v>37898</v>
      </c>
    </row>
    <row r="731" spans="1:2" x14ac:dyDescent="0.25">
      <c r="A731" s="14">
        <v>10317</v>
      </c>
      <c r="B731" s="16">
        <v>37904</v>
      </c>
    </row>
    <row r="732" spans="1:2" x14ac:dyDescent="0.25">
      <c r="A732" s="14">
        <v>10316</v>
      </c>
      <c r="B732" s="16">
        <v>37902</v>
      </c>
    </row>
    <row r="733" spans="1:2" x14ac:dyDescent="0.25">
      <c r="A733" s="14">
        <v>10315</v>
      </c>
      <c r="B733" s="16">
        <v>37897</v>
      </c>
    </row>
    <row r="734" spans="1:2" x14ac:dyDescent="0.25">
      <c r="A734" s="14">
        <v>10314</v>
      </c>
      <c r="B734" s="16">
        <v>37898</v>
      </c>
    </row>
    <row r="735" spans="1:2" x14ac:dyDescent="0.25">
      <c r="A735" s="14">
        <v>10313</v>
      </c>
      <c r="B735" s="16">
        <v>37898</v>
      </c>
    </row>
    <row r="736" spans="1:2" x14ac:dyDescent="0.25">
      <c r="A736" s="14">
        <v>10312</v>
      </c>
      <c r="B736" s="16">
        <v>37897</v>
      </c>
    </row>
    <row r="737" spans="1:2" x14ac:dyDescent="0.25">
      <c r="A737" s="14">
        <v>10311</v>
      </c>
      <c r="B737" s="16">
        <v>37890</v>
      </c>
    </row>
    <row r="738" spans="1:2" x14ac:dyDescent="0.25">
      <c r="A738" s="14">
        <v>10310</v>
      </c>
      <c r="B738" s="16">
        <v>37891</v>
      </c>
    </row>
    <row r="739" spans="1:2" x14ac:dyDescent="0.25">
      <c r="A739" s="14">
        <v>10309</v>
      </c>
      <c r="B739" s="16">
        <v>37917</v>
      </c>
    </row>
    <row r="740" spans="1:2" x14ac:dyDescent="0.25">
      <c r="A740" s="14">
        <v>10308</v>
      </c>
      <c r="B740" s="16">
        <v>37888</v>
      </c>
    </row>
    <row r="741" spans="1:2" x14ac:dyDescent="0.25">
      <c r="A741" s="14">
        <v>10307</v>
      </c>
      <c r="B741" s="16">
        <v>37889</v>
      </c>
    </row>
    <row r="742" spans="1:2" x14ac:dyDescent="0.25">
      <c r="A742" s="14">
        <v>10306</v>
      </c>
      <c r="B742" s="16">
        <v>37887</v>
      </c>
    </row>
    <row r="743" spans="1:2" x14ac:dyDescent="0.25">
      <c r="A743" s="14">
        <v>10305</v>
      </c>
      <c r="B743" s="16">
        <v>37903</v>
      </c>
    </row>
    <row r="744" spans="1:2" x14ac:dyDescent="0.25">
      <c r="A744" s="14">
        <v>10304</v>
      </c>
      <c r="B744" s="16">
        <v>37881</v>
      </c>
    </row>
    <row r="745" spans="1:2" x14ac:dyDescent="0.25">
      <c r="A745" s="14">
        <v>10303</v>
      </c>
      <c r="B745" s="16">
        <v>37882</v>
      </c>
    </row>
    <row r="746" spans="1:2" x14ac:dyDescent="0.25">
      <c r="A746" s="14">
        <v>10302</v>
      </c>
      <c r="B746" s="16">
        <v>37903</v>
      </c>
    </row>
    <row r="747" spans="1:2" x14ac:dyDescent="0.25">
      <c r="A747" s="14">
        <v>10301</v>
      </c>
      <c r="B747" s="16">
        <v>37881</v>
      </c>
    </row>
    <row r="748" spans="1:2" x14ac:dyDescent="0.25">
      <c r="A748" s="14">
        <v>10300</v>
      </c>
      <c r="B748" s="16">
        <v>37882</v>
      </c>
    </row>
    <row r="749" spans="1:2" x14ac:dyDescent="0.25">
      <c r="A749" s="14">
        <v>10299</v>
      </c>
      <c r="B749" s="16">
        <v>37877</v>
      </c>
    </row>
    <row r="750" spans="1:2" x14ac:dyDescent="0.25">
      <c r="A750" s="14">
        <v>10298</v>
      </c>
      <c r="B750" s="16">
        <v>37875</v>
      </c>
    </row>
    <row r="751" spans="1:2" x14ac:dyDescent="0.25">
      <c r="A751" s="14">
        <v>10297</v>
      </c>
      <c r="B751" s="16">
        <v>37874</v>
      </c>
    </row>
    <row r="752" spans="1:2" x14ac:dyDescent="0.25">
      <c r="A752" s="14">
        <v>10296</v>
      </c>
      <c r="B752" s="16">
        <v>37875</v>
      </c>
    </row>
    <row r="753" spans="1:2" x14ac:dyDescent="0.25">
      <c r="A753" s="14">
        <v>10295</v>
      </c>
      <c r="B753" s="16">
        <v>37874</v>
      </c>
    </row>
    <row r="754" spans="1:2" x14ac:dyDescent="0.25">
      <c r="A754" s="14">
        <v>10294</v>
      </c>
      <c r="B754" s="16">
        <v>37869</v>
      </c>
    </row>
    <row r="755" spans="1:2" x14ac:dyDescent="0.25">
      <c r="A755" s="14">
        <v>10293</v>
      </c>
      <c r="B755" s="16">
        <v>37875</v>
      </c>
    </row>
    <row r="756" spans="1:2" x14ac:dyDescent="0.25">
      <c r="A756" s="14">
        <v>10292</v>
      </c>
      <c r="B756" s="16">
        <v>37866</v>
      </c>
    </row>
    <row r="757" spans="1:2" x14ac:dyDescent="0.25">
      <c r="A757" s="14">
        <v>10291</v>
      </c>
      <c r="B757" s="16">
        <v>37868</v>
      </c>
    </row>
    <row r="758" spans="1:2" x14ac:dyDescent="0.25">
      <c r="A758" s="14">
        <v>10290</v>
      </c>
      <c r="B758" s="16">
        <v>37867</v>
      </c>
    </row>
    <row r="759" spans="1:2" x14ac:dyDescent="0.25">
      <c r="A759" s="14">
        <v>10289</v>
      </c>
      <c r="B759" s="16">
        <v>37861</v>
      </c>
    </row>
    <row r="760" spans="1:2" x14ac:dyDescent="0.25">
      <c r="A760" s="14">
        <v>10288</v>
      </c>
      <c r="B760" s="16">
        <v>37867</v>
      </c>
    </row>
    <row r="761" spans="1:2" x14ac:dyDescent="0.25">
      <c r="A761" s="14">
        <v>10287</v>
      </c>
      <c r="B761" s="16">
        <v>37861</v>
      </c>
    </row>
    <row r="762" spans="1:2" x14ac:dyDescent="0.25">
      <c r="A762" s="14">
        <v>10286</v>
      </c>
      <c r="B762" s="16">
        <v>37863</v>
      </c>
    </row>
    <row r="763" spans="1:2" x14ac:dyDescent="0.25">
      <c r="A763" s="14">
        <v>10285</v>
      </c>
      <c r="B763" s="16">
        <v>37859</v>
      </c>
    </row>
    <row r="764" spans="1:2" x14ac:dyDescent="0.25">
      <c r="A764" s="14">
        <v>10284</v>
      </c>
      <c r="B764" s="16">
        <v>37860</v>
      </c>
    </row>
    <row r="765" spans="1:2" x14ac:dyDescent="0.25">
      <c r="A765" s="14">
        <v>10283</v>
      </c>
      <c r="B765" s="16">
        <v>37856</v>
      </c>
    </row>
    <row r="766" spans="1:2" x14ac:dyDescent="0.25">
      <c r="A766" s="14">
        <v>10282</v>
      </c>
      <c r="B766" s="16">
        <v>37854</v>
      </c>
    </row>
    <row r="767" spans="1:2" x14ac:dyDescent="0.25">
      <c r="A767" s="14">
        <v>10281</v>
      </c>
      <c r="B767" s="16">
        <v>37854</v>
      </c>
    </row>
    <row r="768" spans="1:2" x14ac:dyDescent="0.25">
      <c r="A768" s="14">
        <v>10280</v>
      </c>
      <c r="B768" s="16">
        <v>37876</v>
      </c>
    </row>
    <row r="769" spans="1:2" x14ac:dyDescent="0.25">
      <c r="A769" s="14">
        <v>10279</v>
      </c>
      <c r="B769" s="16">
        <v>37849</v>
      </c>
    </row>
    <row r="770" spans="1:2" x14ac:dyDescent="0.25">
      <c r="A770" s="14">
        <v>10278</v>
      </c>
      <c r="B770" s="16">
        <v>37849</v>
      </c>
    </row>
    <row r="771" spans="1:2" x14ac:dyDescent="0.25">
      <c r="A771" s="14">
        <v>10277</v>
      </c>
      <c r="B771" s="16">
        <v>37846</v>
      </c>
    </row>
    <row r="772" spans="1:2" x14ac:dyDescent="0.25">
      <c r="A772" s="14">
        <v>10276</v>
      </c>
      <c r="B772" s="16">
        <v>37847</v>
      </c>
    </row>
    <row r="773" spans="1:2" x14ac:dyDescent="0.25">
      <c r="A773" s="14">
        <v>10275</v>
      </c>
      <c r="B773" s="16">
        <v>37842</v>
      </c>
    </row>
    <row r="774" spans="1:2" x14ac:dyDescent="0.25">
      <c r="A774" s="14">
        <v>10274</v>
      </c>
      <c r="B774" s="16">
        <v>37849</v>
      </c>
    </row>
    <row r="775" spans="1:2" x14ac:dyDescent="0.25">
      <c r="A775" s="14">
        <v>10273</v>
      </c>
      <c r="B775" s="16">
        <v>37845</v>
      </c>
    </row>
    <row r="776" spans="1:2" x14ac:dyDescent="0.25">
      <c r="A776" s="14">
        <v>10272</v>
      </c>
      <c r="B776" s="16">
        <v>37839</v>
      </c>
    </row>
    <row r="777" spans="1:2" x14ac:dyDescent="0.25">
      <c r="A777" s="14">
        <v>10271</v>
      </c>
      <c r="B777" s="16">
        <v>37863</v>
      </c>
    </row>
    <row r="778" spans="1:2" x14ac:dyDescent="0.25">
      <c r="A778" s="14">
        <v>10270</v>
      </c>
      <c r="B778" s="16">
        <v>37835</v>
      </c>
    </row>
    <row r="779" spans="1:2" x14ac:dyDescent="0.25">
      <c r="A779" s="14">
        <v>10269</v>
      </c>
      <c r="B779" s="16">
        <v>37842</v>
      </c>
    </row>
    <row r="780" spans="1:2" x14ac:dyDescent="0.25">
      <c r="A780" s="14">
        <v>10268</v>
      </c>
      <c r="B780" s="16">
        <v>37835</v>
      </c>
    </row>
    <row r="781" spans="1:2" x14ac:dyDescent="0.25">
      <c r="A781" s="14">
        <v>10267</v>
      </c>
      <c r="B781" s="16">
        <v>37839</v>
      </c>
    </row>
    <row r="782" spans="1:2" x14ac:dyDescent="0.25">
      <c r="A782" s="14">
        <v>10266</v>
      </c>
      <c r="B782" s="16">
        <v>37833</v>
      </c>
    </row>
    <row r="783" spans="1:2" x14ac:dyDescent="0.25">
      <c r="A783" s="14">
        <v>10265</v>
      </c>
      <c r="B783" s="16">
        <v>37845</v>
      </c>
    </row>
    <row r="784" spans="1:2" x14ac:dyDescent="0.25">
      <c r="A784" s="14">
        <v>10264</v>
      </c>
      <c r="B784" s="16">
        <v>37856</v>
      </c>
    </row>
    <row r="785" spans="1:2" x14ac:dyDescent="0.25">
      <c r="A785" s="14">
        <v>10263</v>
      </c>
      <c r="B785" s="16">
        <v>37833</v>
      </c>
    </row>
    <row r="786" spans="1:2" x14ac:dyDescent="0.25">
      <c r="A786" s="14">
        <v>10262</v>
      </c>
      <c r="B786" s="16">
        <v>37827</v>
      </c>
    </row>
    <row r="787" spans="1:2" x14ac:dyDescent="0.25">
      <c r="A787" s="14">
        <v>10261</v>
      </c>
      <c r="B787" s="16">
        <v>37832</v>
      </c>
    </row>
    <row r="788" spans="1:2" x14ac:dyDescent="0.25">
      <c r="A788" s="14">
        <v>10260</v>
      </c>
      <c r="B788" s="16">
        <v>37831</v>
      </c>
    </row>
    <row r="789" spans="1:2" x14ac:dyDescent="0.25">
      <c r="A789" s="14">
        <v>10259</v>
      </c>
      <c r="B789" s="16">
        <v>37827</v>
      </c>
    </row>
    <row r="790" spans="1:2" x14ac:dyDescent="0.25">
      <c r="A790" s="14">
        <v>10258</v>
      </c>
      <c r="B790" s="16">
        <v>37825</v>
      </c>
    </row>
    <row r="791" spans="1:2" x14ac:dyDescent="0.25">
      <c r="A791" s="14">
        <v>10257</v>
      </c>
      <c r="B791" s="16">
        <v>37824</v>
      </c>
    </row>
    <row r="792" spans="1:2" x14ac:dyDescent="0.25">
      <c r="A792" s="14">
        <v>10256</v>
      </c>
      <c r="B792" s="16">
        <v>37819</v>
      </c>
    </row>
    <row r="793" spans="1:2" x14ac:dyDescent="0.25">
      <c r="A793" s="14">
        <v>10255</v>
      </c>
      <c r="B793" s="16">
        <v>37817</v>
      </c>
    </row>
    <row r="794" spans="1:2" x14ac:dyDescent="0.25">
      <c r="A794" s="14">
        <v>10254</v>
      </c>
      <c r="B794" s="16">
        <v>37825</v>
      </c>
    </row>
    <row r="795" spans="1:2" x14ac:dyDescent="0.25">
      <c r="A795" s="14">
        <v>10253</v>
      </c>
      <c r="B795" s="16">
        <v>37818</v>
      </c>
    </row>
    <row r="796" spans="1:2" x14ac:dyDescent="0.25">
      <c r="A796" s="14">
        <v>10252</v>
      </c>
      <c r="B796" s="16">
        <v>37813</v>
      </c>
    </row>
    <row r="797" spans="1:2" x14ac:dyDescent="0.25">
      <c r="A797" s="14">
        <v>10251</v>
      </c>
      <c r="B797" s="16">
        <v>37817</v>
      </c>
    </row>
    <row r="798" spans="1:2" x14ac:dyDescent="0.25">
      <c r="A798" s="14">
        <v>10250</v>
      </c>
      <c r="B798" s="16">
        <v>37814</v>
      </c>
    </row>
    <row r="799" spans="1:2" x14ac:dyDescent="0.25">
      <c r="A799" s="14">
        <v>10249</v>
      </c>
      <c r="B799" s="16">
        <v>37812</v>
      </c>
    </row>
    <row r="800" spans="1:2" x14ac:dyDescent="0.25">
      <c r="A800" s="14">
        <v>10248</v>
      </c>
      <c r="B800" s="16">
        <v>37818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D1A6-34A0-4F7B-AE9B-AF6E205EE940}">
  <dimension ref="A1:B800"/>
  <sheetViews>
    <sheetView topLeftCell="A782" workbookViewId="0">
      <selection activeCell="E12" sqref="E12"/>
    </sheetView>
  </sheetViews>
  <sheetFormatPr defaultRowHeight="15" x14ac:dyDescent="0.25"/>
  <sheetData>
    <row r="1" spans="1:2" x14ac:dyDescent="0.25">
      <c r="A1" s="17" t="s">
        <v>0</v>
      </c>
      <c r="B1" s="18" t="s">
        <v>72</v>
      </c>
    </row>
    <row r="2" spans="1:2" x14ac:dyDescent="0.25">
      <c r="A2" s="14">
        <v>10248</v>
      </c>
      <c r="B2" s="14" t="s">
        <v>77</v>
      </c>
    </row>
    <row r="3" spans="1:2" x14ac:dyDescent="0.25">
      <c r="A3" s="14">
        <v>10249</v>
      </c>
      <c r="B3" s="14" t="s">
        <v>77</v>
      </c>
    </row>
    <row r="4" spans="1:2" x14ac:dyDescent="0.25">
      <c r="A4" s="14">
        <v>10254</v>
      </c>
      <c r="B4" s="14" t="s">
        <v>77</v>
      </c>
    </row>
    <row r="5" spans="1:2" x14ac:dyDescent="0.25">
      <c r="A5" s="14">
        <v>10255</v>
      </c>
      <c r="B5" s="14" t="s">
        <v>77</v>
      </c>
    </row>
    <row r="6" spans="1:2" x14ac:dyDescent="0.25">
      <c r="A6" s="14">
        <v>10263</v>
      </c>
      <c r="B6" s="14" t="s">
        <v>77</v>
      </c>
    </row>
    <row r="7" spans="1:2" x14ac:dyDescent="0.25">
      <c r="A7" s="14">
        <v>10264</v>
      </c>
      <c r="B7" s="14" t="s">
        <v>77</v>
      </c>
    </row>
    <row r="8" spans="1:2" x14ac:dyDescent="0.25">
      <c r="A8" s="14">
        <v>10269</v>
      </c>
      <c r="B8" s="14" t="s">
        <v>77</v>
      </c>
    </row>
    <row r="9" spans="1:2" x14ac:dyDescent="0.25">
      <c r="A9" s="14">
        <v>10271</v>
      </c>
      <c r="B9" s="14" t="s">
        <v>77</v>
      </c>
    </row>
    <row r="10" spans="1:2" x14ac:dyDescent="0.25">
      <c r="A10" s="14">
        <v>10272</v>
      </c>
      <c r="B10" s="14" t="s">
        <v>77</v>
      </c>
    </row>
    <row r="11" spans="1:2" x14ac:dyDescent="0.25">
      <c r="A11" s="14">
        <v>10274</v>
      </c>
      <c r="B11" s="14" t="s">
        <v>77</v>
      </c>
    </row>
    <row r="12" spans="1:2" x14ac:dyDescent="0.25">
      <c r="A12" s="14">
        <v>10289</v>
      </c>
      <c r="B12" s="14" t="s">
        <v>77</v>
      </c>
    </row>
    <row r="13" spans="1:2" x14ac:dyDescent="0.25">
      <c r="A13" s="14">
        <v>10291</v>
      </c>
      <c r="B13" s="14" t="s">
        <v>77</v>
      </c>
    </row>
    <row r="14" spans="1:2" x14ac:dyDescent="0.25">
      <c r="A14" s="14">
        <v>10296</v>
      </c>
      <c r="B14" s="14" t="s">
        <v>77</v>
      </c>
    </row>
    <row r="15" spans="1:2" x14ac:dyDescent="0.25">
      <c r="A15" s="14">
        <v>10297</v>
      </c>
      <c r="B15" s="14" t="s">
        <v>77</v>
      </c>
    </row>
    <row r="16" spans="1:2" x14ac:dyDescent="0.25">
      <c r="A16" s="14">
        <v>10298</v>
      </c>
      <c r="B16" s="14" t="s">
        <v>77</v>
      </c>
    </row>
    <row r="17" spans="1:2" x14ac:dyDescent="0.25">
      <c r="A17" s="14">
        <v>10303</v>
      </c>
      <c r="B17" s="14" t="s">
        <v>77</v>
      </c>
    </row>
    <row r="18" spans="1:2" x14ac:dyDescent="0.25">
      <c r="A18" s="14">
        <v>10308</v>
      </c>
      <c r="B18" s="14" t="s">
        <v>77</v>
      </c>
    </row>
    <row r="19" spans="1:2" x14ac:dyDescent="0.25">
      <c r="A19" s="14">
        <v>10317</v>
      </c>
      <c r="B19" s="14" t="s">
        <v>77</v>
      </c>
    </row>
    <row r="20" spans="1:2" x14ac:dyDescent="0.25">
      <c r="A20" s="14">
        <v>10319</v>
      </c>
      <c r="B20" s="14" t="s">
        <v>77</v>
      </c>
    </row>
    <row r="21" spans="1:2" x14ac:dyDescent="0.25">
      <c r="A21" s="14">
        <v>10320</v>
      </c>
      <c r="B21" s="14" t="s">
        <v>77</v>
      </c>
    </row>
    <row r="22" spans="1:2" x14ac:dyDescent="0.25">
      <c r="A22" s="14">
        <v>10322</v>
      </c>
      <c r="B22" s="14" t="s">
        <v>77</v>
      </c>
    </row>
    <row r="23" spans="1:2" x14ac:dyDescent="0.25">
      <c r="A23" s="14">
        <v>10324</v>
      </c>
      <c r="B23" s="14" t="s">
        <v>77</v>
      </c>
    </row>
    <row r="24" spans="1:2" x14ac:dyDescent="0.25">
      <c r="A24" s="14">
        <v>10331</v>
      </c>
      <c r="B24" s="14" t="s">
        <v>77</v>
      </c>
    </row>
    <row r="25" spans="1:2" x14ac:dyDescent="0.25">
      <c r="A25" s="14">
        <v>10333</v>
      </c>
      <c r="B25" s="14" t="s">
        <v>77</v>
      </c>
    </row>
    <row r="26" spans="1:2" x14ac:dyDescent="0.25">
      <c r="A26" s="14">
        <v>10335</v>
      </c>
      <c r="B26" s="14" t="s">
        <v>77</v>
      </c>
    </row>
    <row r="27" spans="1:2" x14ac:dyDescent="0.25">
      <c r="A27" s="14">
        <v>10336</v>
      </c>
      <c r="B27" s="14" t="s">
        <v>77</v>
      </c>
    </row>
    <row r="28" spans="1:2" x14ac:dyDescent="0.25">
      <c r="A28" s="14">
        <v>10341</v>
      </c>
      <c r="B28" s="14" t="s">
        <v>77</v>
      </c>
    </row>
    <row r="29" spans="1:2" x14ac:dyDescent="0.25">
      <c r="A29" s="14">
        <v>10349</v>
      </c>
      <c r="B29" s="14" t="s">
        <v>77</v>
      </c>
    </row>
    <row r="30" spans="1:2" x14ac:dyDescent="0.25">
      <c r="A30" s="14">
        <v>10350</v>
      </c>
      <c r="B30" s="14" t="s">
        <v>77</v>
      </c>
    </row>
    <row r="31" spans="1:2" x14ac:dyDescent="0.25">
      <c r="A31" s="14">
        <v>10353</v>
      </c>
      <c r="B31" s="14" t="s">
        <v>77</v>
      </c>
    </row>
    <row r="32" spans="1:2" x14ac:dyDescent="0.25">
      <c r="A32" s="14">
        <v>10355</v>
      </c>
      <c r="B32" s="14" t="s">
        <v>77</v>
      </c>
    </row>
    <row r="33" spans="1:2" x14ac:dyDescent="0.25">
      <c r="A33" s="14">
        <v>10356</v>
      </c>
      <c r="B33" s="14" t="s">
        <v>77</v>
      </c>
    </row>
    <row r="34" spans="1:2" x14ac:dyDescent="0.25">
      <c r="A34" s="14">
        <v>10358</v>
      </c>
      <c r="B34" s="14" t="s">
        <v>77</v>
      </c>
    </row>
    <row r="35" spans="1:2" x14ac:dyDescent="0.25">
      <c r="A35" s="14">
        <v>10359</v>
      </c>
      <c r="B35" s="14" t="s">
        <v>77</v>
      </c>
    </row>
    <row r="36" spans="1:2" x14ac:dyDescent="0.25">
      <c r="A36" s="14">
        <v>10367</v>
      </c>
      <c r="B36" s="14" t="s">
        <v>77</v>
      </c>
    </row>
    <row r="37" spans="1:2" x14ac:dyDescent="0.25">
      <c r="A37" s="14">
        <v>10370</v>
      </c>
      <c r="B37" s="14" t="s">
        <v>77</v>
      </c>
    </row>
    <row r="38" spans="1:2" x14ac:dyDescent="0.25">
      <c r="A38" s="14">
        <v>10372</v>
      </c>
      <c r="B38" s="14" t="s">
        <v>77</v>
      </c>
    </row>
    <row r="39" spans="1:2" x14ac:dyDescent="0.25">
      <c r="A39" s="14">
        <v>10378</v>
      </c>
      <c r="B39" s="14" t="s">
        <v>77</v>
      </c>
    </row>
    <row r="40" spans="1:2" x14ac:dyDescent="0.25">
      <c r="A40" s="14">
        <v>10386</v>
      </c>
      <c r="B40" s="14" t="s">
        <v>77</v>
      </c>
    </row>
    <row r="41" spans="1:2" x14ac:dyDescent="0.25">
      <c r="A41" s="14">
        <v>10390</v>
      </c>
      <c r="B41" s="14" t="s">
        <v>77</v>
      </c>
    </row>
    <row r="42" spans="1:2" x14ac:dyDescent="0.25">
      <c r="A42" s="14">
        <v>10395</v>
      </c>
      <c r="B42" s="14" t="s">
        <v>77</v>
      </c>
    </row>
    <row r="43" spans="1:2" x14ac:dyDescent="0.25">
      <c r="A43" s="14">
        <v>10397</v>
      </c>
      <c r="B43" s="14" t="s">
        <v>77</v>
      </c>
    </row>
    <row r="44" spans="1:2" x14ac:dyDescent="0.25">
      <c r="A44" s="14">
        <v>10406</v>
      </c>
      <c r="B44" s="14" t="s">
        <v>77</v>
      </c>
    </row>
    <row r="45" spans="1:2" x14ac:dyDescent="0.25">
      <c r="A45" s="14">
        <v>10411</v>
      </c>
      <c r="B45" s="14" t="s">
        <v>77</v>
      </c>
    </row>
    <row r="46" spans="1:2" x14ac:dyDescent="0.25">
      <c r="A46" s="14">
        <v>10423</v>
      </c>
      <c r="B46" s="14" t="s">
        <v>77</v>
      </c>
    </row>
    <row r="47" spans="1:2" x14ac:dyDescent="0.25">
      <c r="A47" s="14">
        <v>10424</v>
      </c>
      <c r="B47" s="14" t="s">
        <v>77</v>
      </c>
    </row>
    <row r="48" spans="1:2" x14ac:dyDescent="0.25">
      <c r="A48" s="14">
        <v>10425</v>
      </c>
      <c r="B48" s="14" t="s">
        <v>77</v>
      </c>
    </row>
    <row r="49" spans="1:2" x14ac:dyDescent="0.25">
      <c r="A49" s="14">
        <v>10428</v>
      </c>
      <c r="B49" s="14" t="s">
        <v>77</v>
      </c>
    </row>
    <row r="50" spans="1:2" x14ac:dyDescent="0.25">
      <c r="A50" s="14">
        <v>10439</v>
      </c>
      <c r="B50" s="14" t="s">
        <v>77</v>
      </c>
    </row>
    <row r="51" spans="1:2" x14ac:dyDescent="0.25">
      <c r="A51" s="14">
        <v>10446</v>
      </c>
      <c r="B51" s="14" t="s">
        <v>77</v>
      </c>
    </row>
    <row r="52" spans="1:2" x14ac:dyDescent="0.25">
      <c r="A52" s="14">
        <v>10458</v>
      </c>
      <c r="B52" s="14" t="s">
        <v>77</v>
      </c>
    </row>
    <row r="53" spans="1:2" x14ac:dyDescent="0.25">
      <c r="A53" s="14">
        <v>10463</v>
      </c>
      <c r="B53" s="14" t="s">
        <v>77</v>
      </c>
    </row>
    <row r="54" spans="1:2" x14ac:dyDescent="0.25">
      <c r="A54" s="14">
        <v>10474</v>
      </c>
      <c r="B54" s="14" t="s">
        <v>77</v>
      </c>
    </row>
    <row r="55" spans="1:2" x14ac:dyDescent="0.25">
      <c r="A55" s="14">
        <v>10475</v>
      </c>
      <c r="B55" s="14" t="s">
        <v>77</v>
      </c>
    </row>
    <row r="56" spans="1:2" x14ac:dyDescent="0.25">
      <c r="A56" s="14">
        <v>10477</v>
      </c>
      <c r="B56" s="14" t="s">
        <v>77</v>
      </c>
    </row>
    <row r="57" spans="1:2" x14ac:dyDescent="0.25">
      <c r="A57" s="14">
        <v>10480</v>
      </c>
      <c r="B57" s="14" t="s">
        <v>77</v>
      </c>
    </row>
    <row r="58" spans="1:2" x14ac:dyDescent="0.25">
      <c r="A58" s="14">
        <v>10483</v>
      </c>
      <c r="B58" s="14" t="s">
        <v>77</v>
      </c>
    </row>
    <row r="59" spans="1:2" x14ac:dyDescent="0.25">
      <c r="A59" s="14">
        <v>10489</v>
      </c>
      <c r="B59" s="14" t="s">
        <v>77</v>
      </c>
    </row>
    <row r="60" spans="1:2" x14ac:dyDescent="0.25">
      <c r="A60" s="14">
        <v>10490</v>
      </c>
      <c r="B60" s="14" t="s">
        <v>77</v>
      </c>
    </row>
    <row r="61" spans="1:2" x14ac:dyDescent="0.25">
      <c r="A61" s="14">
        <v>10496</v>
      </c>
      <c r="B61" s="14" t="s">
        <v>77</v>
      </c>
    </row>
    <row r="62" spans="1:2" x14ac:dyDescent="0.25">
      <c r="A62" s="14">
        <v>10497</v>
      </c>
      <c r="B62" s="14" t="s">
        <v>77</v>
      </c>
    </row>
    <row r="63" spans="1:2" x14ac:dyDescent="0.25">
      <c r="A63" s="14">
        <v>10500</v>
      </c>
      <c r="B63" s="14" t="s">
        <v>77</v>
      </c>
    </row>
    <row r="64" spans="1:2" x14ac:dyDescent="0.25">
      <c r="A64" s="14">
        <v>10501</v>
      </c>
      <c r="B64" s="14" t="s">
        <v>77</v>
      </c>
    </row>
    <row r="65" spans="1:2" x14ac:dyDescent="0.25">
      <c r="A65" s="14">
        <v>10503</v>
      </c>
      <c r="B65" s="14" t="s">
        <v>77</v>
      </c>
    </row>
    <row r="66" spans="1:2" x14ac:dyDescent="0.25">
      <c r="A66" s="14">
        <v>10506</v>
      </c>
      <c r="B66" s="14" t="s">
        <v>77</v>
      </c>
    </row>
    <row r="67" spans="1:2" x14ac:dyDescent="0.25">
      <c r="A67" s="14">
        <v>10507</v>
      </c>
      <c r="B67" s="14" t="s">
        <v>77</v>
      </c>
    </row>
    <row r="68" spans="1:2" x14ac:dyDescent="0.25">
      <c r="A68" s="14">
        <v>10510</v>
      </c>
      <c r="B68" s="14" t="s">
        <v>77</v>
      </c>
    </row>
    <row r="69" spans="1:2" x14ac:dyDescent="0.25">
      <c r="A69" s="14">
        <v>10512</v>
      </c>
      <c r="B69" s="14" t="s">
        <v>77</v>
      </c>
    </row>
    <row r="70" spans="1:2" x14ac:dyDescent="0.25">
      <c r="A70" s="14">
        <v>10513</v>
      </c>
      <c r="B70" s="14" t="s">
        <v>77</v>
      </c>
    </row>
    <row r="71" spans="1:2" x14ac:dyDescent="0.25">
      <c r="A71" s="14">
        <v>10519</v>
      </c>
      <c r="B71" s="14" t="s">
        <v>77</v>
      </c>
    </row>
    <row r="72" spans="1:2" x14ac:dyDescent="0.25">
      <c r="A72" s="14">
        <v>10520</v>
      </c>
      <c r="B72" s="14" t="s">
        <v>77</v>
      </c>
    </row>
    <row r="73" spans="1:2" x14ac:dyDescent="0.25">
      <c r="A73" s="14">
        <v>10523</v>
      </c>
      <c r="B73" s="14" t="s">
        <v>77</v>
      </c>
    </row>
    <row r="74" spans="1:2" x14ac:dyDescent="0.25">
      <c r="A74" s="14">
        <v>10527</v>
      </c>
      <c r="B74" s="14" t="s">
        <v>77</v>
      </c>
    </row>
    <row r="75" spans="1:2" x14ac:dyDescent="0.25">
      <c r="A75" s="14">
        <v>10528</v>
      </c>
      <c r="B75" s="14" t="s">
        <v>77</v>
      </c>
    </row>
    <row r="76" spans="1:2" x14ac:dyDescent="0.25">
      <c r="A76" s="14">
        <v>10529</v>
      </c>
      <c r="B76" s="14" t="s">
        <v>77</v>
      </c>
    </row>
    <row r="77" spans="1:2" x14ac:dyDescent="0.25">
      <c r="A77" s="14">
        <v>10531</v>
      </c>
      <c r="B77" s="14" t="s">
        <v>77</v>
      </c>
    </row>
    <row r="78" spans="1:2" x14ac:dyDescent="0.25">
      <c r="A78" s="14">
        <v>10532</v>
      </c>
      <c r="B78" s="14" t="s">
        <v>77</v>
      </c>
    </row>
    <row r="79" spans="1:2" x14ac:dyDescent="0.25">
      <c r="A79" s="14">
        <v>10538</v>
      </c>
      <c r="B79" s="14" t="s">
        <v>77</v>
      </c>
    </row>
    <row r="80" spans="1:2" x14ac:dyDescent="0.25">
      <c r="A80" s="14">
        <v>10539</v>
      </c>
      <c r="B80" s="14" t="s">
        <v>77</v>
      </c>
    </row>
    <row r="81" spans="1:2" x14ac:dyDescent="0.25">
      <c r="A81" s="14">
        <v>10549</v>
      </c>
      <c r="B81" s="14" t="s">
        <v>77</v>
      </c>
    </row>
    <row r="82" spans="1:2" x14ac:dyDescent="0.25">
      <c r="A82" s="14">
        <v>10550</v>
      </c>
      <c r="B82" s="14" t="s">
        <v>77</v>
      </c>
    </row>
    <row r="83" spans="1:2" x14ac:dyDescent="0.25">
      <c r="A83" s="14">
        <v>10555</v>
      </c>
      <c r="B83" s="14" t="s">
        <v>77</v>
      </c>
    </row>
    <row r="84" spans="1:2" x14ac:dyDescent="0.25">
      <c r="A84" s="14">
        <v>10557</v>
      </c>
      <c r="B84" s="14" t="s">
        <v>77</v>
      </c>
    </row>
    <row r="85" spans="1:2" x14ac:dyDescent="0.25">
      <c r="A85" s="14">
        <v>10559</v>
      </c>
      <c r="B85" s="14" t="s">
        <v>77</v>
      </c>
    </row>
    <row r="86" spans="1:2" x14ac:dyDescent="0.25">
      <c r="A86" s="14">
        <v>10566</v>
      </c>
      <c r="B86" s="14" t="s">
        <v>77</v>
      </c>
    </row>
    <row r="87" spans="1:2" x14ac:dyDescent="0.25">
      <c r="A87" s="14">
        <v>10569</v>
      </c>
      <c r="B87" s="14" t="s">
        <v>77</v>
      </c>
    </row>
    <row r="88" spans="1:2" x14ac:dyDescent="0.25">
      <c r="A88" s="14">
        <v>10573</v>
      </c>
      <c r="B88" s="14" t="s">
        <v>77</v>
      </c>
    </row>
    <row r="89" spans="1:2" x14ac:dyDescent="0.25">
      <c r="A89" s="14">
        <v>10575</v>
      </c>
      <c r="B89" s="14" t="s">
        <v>77</v>
      </c>
    </row>
    <row r="90" spans="1:2" x14ac:dyDescent="0.25">
      <c r="A90" s="14">
        <v>10577</v>
      </c>
      <c r="B90" s="14" t="s">
        <v>77</v>
      </c>
    </row>
    <row r="91" spans="1:2" x14ac:dyDescent="0.25">
      <c r="A91" s="14">
        <v>10585</v>
      </c>
      <c r="B91" s="14" t="s">
        <v>77</v>
      </c>
    </row>
    <row r="92" spans="1:2" x14ac:dyDescent="0.25">
      <c r="A92" s="14">
        <v>10586</v>
      </c>
      <c r="B92" s="14" t="s">
        <v>77</v>
      </c>
    </row>
    <row r="93" spans="1:2" x14ac:dyDescent="0.25">
      <c r="A93" s="14">
        <v>10593</v>
      </c>
      <c r="B93" s="14" t="s">
        <v>77</v>
      </c>
    </row>
    <row r="94" spans="1:2" x14ac:dyDescent="0.25">
      <c r="A94" s="14">
        <v>10597</v>
      </c>
      <c r="B94" s="14" t="s">
        <v>77</v>
      </c>
    </row>
    <row r="95" spans="1:2" x14ac:dyDescent="0.25">
      <c r="A95" s="14">
        <v>10599</v>
      </c>
      <c r="B95" s="14" t="s">
        <v>77</v>
      </c>
    </row>
    <row r="96" spans="1:2" x14ac:dyDescent="0.25">
      <c r="A96" s="14">
        <v>10601</v>
      </c>
      <c r="B96" s="14" t="s">
        <v>77</v>
      </c>
    </row>
    <row r="97" spans="1:2" x14ac:dyDescent="0.25">
      <c r="A97" s="14">
        <v>10607</v>
      </c>
      <c r="B97" s="14" t="s">
        <v>77</v>
      </c>
    </row>
    <row r="98" spans="1:2" x14ac:dyDescent="0.25">
      <c r="A98" s="14">
        <v>10609</v>
      </c>
      <c r="B98" s="14" t="s">
        <v>77</v>
      </c>
    </row>
    <row r="99" spans="1:2" x14ac:dyDescent="0.25">
      <c r="A99" s="14">
        <v>10611</v>
      </c>
      <c r="B99" s="14" t="s">
        <v>77</v>
      </c>
    </row>
    <row r="100" spans="1:2" x14ac:dyDescent="0.25">
      <c r="A100" s="14">
        <v>10633</v>
      </c>
      <c r="B100" s="14" t="s">
        <v>77</v>
      </c>
    </row>
    <row r="101" spans="1:2" x14ac:dyDescent="0.25">
      <c r="A101" s="14">
        <v>10637</v>
      </c>
      <c r="B101" s="14" t="s">
        <v>77</v>
      </c>
    </row>
    <row r="102" spans="1:2" x14ac:dyDescent="0.25">
      <c r="A102" s="14">
        <v>10639</v>
      </c>
      <c r="B102" s="14" t="s">
        <v>77</v>
      </c>
    </row>
    <row r="103" spans="1:2" x14ac:dyDescent="0.25">
      <c r="A103" s="14">
        <v>10642</v>
      </c>
      <c r="B103" s="14" t="s">
        <v>77</v>
      </c>
    </row>
    <row r="104" spans="1:2" x14ac:dyDescent="0.25">
      <c r="A104" s="14">
        <v>10643</v>
      </c>
      <c r="B104" s="14" t="s">
        <v>77</v>
      </c>
    </row>
    <row r="105" spans="1:2" x14ac:dyDescent="0.25">
      <c r="A105" s="14">
        <v>10646</v>
      </c>
      <c r="B105" s="14" t="s">
        <v>77</v>
      </c>
    </row>
    <row r="106" spans="1:2" x14ac:dyDescent="0.25">
      <c r="A106" s="14">
        <v>10648</v>
      </c>
      <c r="B106" s="14" t="s">
        <v>77</v>
      </c>
    </row>
    <row r="107" spans="1:2" x14ac:dyDescent="0.25">
      <c r="A107" s="14">
        <v>10649</v>
      </c>
      <c r="B107" s="14" t="s">
        <v>77</v>
      </c>
    </row>
    <row r="108" spans="1:2" x14ac:dyDescent="0.25">
      <c r="A108" s="14">
        <v>10650</v>
      </c>
      <c r="B108" s="14" t="s">
        <v>77</v>
      </c>
    </row>
    <row r="109" spans="1:2" x14ac:dyDescent="0.25">
      <c r="A109" s="14">
        <v>10654</v>
      </c>
      <c r="B109" s="14" t="s">
        <v>77</v>
      </c>
    </row>
    <row r="110" spans="1:2" x14ac:dyDescent="0.25">
      <c r="A110" s="14">
        <v>10656</v>
      </c>
      <c r="B110" s="14" t="s">
        <v>77</v>
      </c>
    </row>
    <row r="111" spans="1:2" x14ac:dyDescent="0.25">
      <c r="A111" s="14">
        <v>10659</v>
      </c>
      <c r="B111" s="14" t="s">
        <v>77</v>
      </c>
    </row>
    <row r="112" spans="1:2" x14ac:dyDescent="0.25">
      <c r="A112" s="14">
        <v>10661</v>
      </c>
      <c r="B112" s="14" t="s">
        <v>77</v>
      </c>
    </row>
    <row r="113" spans="1:2" x14ac:dyDescent="0.25">
      <c r="A113" s="14">
        <v>10666</v>
      </c>
      <c r="B113" s="14" t="s">
        <v>77</v>
      </c>
    </row>
    <row r="114" spans="1:2" x14ac:dyDescent="0.25">
      <c r="A114" s="14">
        <v>10667</v>
      </c>
      <c r="B114" s="14" t="s">
        <v>77</v>
      </c>
    </row>
    <row r="115" spans="1:2" x14ac:dyDescent="0.25">
      <c r="A115" s="14">
        <v>10672</v>
      </c>
      <c r="B115" s="14" t="s">
        <v>77</v>
      </c>
    </row>
    <row r="116" spans="1:2" x14ac:dyDescent="0.25">
      <c r="A116" s="14">
        <v>10675</v>
      </c>
      <c r="B116" s="14" t="s">
        <v>77</v>
      </c>
    </row>
    <row r="117" spans="1:2" x14ac:dyDescent="0.25">
      <c r="A117" s="14">
        <v>10678</v>
      </c>
      <c r="B117" s="14" t="s">
        <v>77</v>
      </c>
    </row>
    <row r="118" spans="1:2" x14ac:dyDescent="0.25">
      <c r="A118" s="14">
        <v>10687</v>
      </c>
      <c r="B118" s="14" t="s">
        <v>77</v>
      </c>
    </row>
    <row r="119" spans="1:2" x14ac:dyDescent="0.25">
      <c r="A119" s="14">
        <v>10695</v>
      </c>
      <c r="B119" s="14" t="s">
        <v>77</v>
      </c>
    </row>
    <row r="120" spans="1:2" x14ac:dyDescent="0.25">
      <c r="A120" s="14">
        <v>10701</v>
      </c>
      <c r="B120" s="14" t="s">
        <v>77</v>
      </c>
    </row>
    <row r="121" spans="1:2" x14ac:dyDescent="0.25">
      <c r="A121" s="14">
        <v>10703</v>
      </c>
      <c r="B121" s="14" t="s">
        <v>77</v>
      </c>
    </row>
    <row r="122" spans="1:2" x14ac:dyDescent="0.25">
      <c r="A122" s="14">
        <v>10704</v>
      </c>
      <c r="B122" s="14" t="s">
        <v>77</v>
      </c>
    </row>
    <row r="123" spans="1:2" x14ac:dyDescent="0.25">
      <c r="A123" s="14">
        <v>10705</v>
      </c>
      <c r="B123" s="14" t="s">
        <v>77</v>
      </c>
    </row>
    <row r="124" spans="1:2" x14ac:dyDescent="0.25">
      <c r="A124" s="14">
        <v>10708</v>
      </c>
      <c r="B124" s="14" t="s">
        <v>77</v>
      </c>
    </row>
    <row r="125" spans="1:2" x14ac:dyDescent="0.25">
      <c r="A125" s="14">
        <v>10711</v>
      </c>
      <c r="B125" s="14" t="s">
        <v>77</v>
      </c>
    </row>
    <row r="126" spans="1:2" x14ac:dyDescent="0.25">
      <c r="A126" s="14">
        <v>10714</v>
      </c>
      <c r="B126" s="14" t="s">
        <v>77</v>
      </c>
    </row>
    <row r="127" spans="1:2" x14ac:dyDescent="0.25">
      <c r="A127" s="14">
        <v>10721</v>
      </c>
      <c r="B127" s="14" t="s">
        <v>77</v>
      </c>
    </row>
    <row r="128" spans="1:2" x14ac:dyDescent="0.25">
      <c r="A128" s="14">
        <v>10730</v>
      </c>
      <c r="B128" s="14" t="s">
        <v>77</v>
      </c>
    </row>
    <row r="129" spans="1:2" x14ac:dyDescent="0.25">
      <c r="A129" s="14">
        <v>10731</v>
      </c>
      <c r="B129" s="14" t="s">
        <v>77</v>
      </c>
    </row>
    <row r="130" spans="1:2" x14ac:dyDescent="0.25">
      <c r="A130" s="14">
        <v>10735</v>
      </c>
      <c r="B130" s="14" t="s">
        <v>77</v>
      </c>
    </row>
    <row r="131" spans="1:2" x14ac:dyDescent="0.25">
      <c r="A131" s="14">
        <v>10736</v>
      </c>
      <c r="B131" s="14" t="s">
        <v>77</v>
      </c>
    </row>
    <row r="132" spans="1:2" x14ac:dyDescent="0.25">
      <c r="A132" s="14">
        <v>10744</v>
      </c>
      <c r="B132" s="14" t="s">
        <v>77</v>
      </c>
    </row>
    <row r="133" spans="1:2" x14ac:dyDescent="0.25">
      <c r="A133" s="14">
        <v>10745</v>
      </c>
      <c r="B133" s="14" t="s">
        <v>77</v>
      </c>
    </row>
    <row r="134" spans="1:2" x14ac:dyDescent="0.25">
      <c r="A134" s="14">
        <v>10747</v>
      </c>
      <c r="B134" s="14" t="s">
        <v>77</v>
      </c>
    </row>
    <row r="135" spans="1:2" x14ac:dyDescent="0.25">
      <c r="A135" s="14">
        <v>10750</v>
      </c>
      <c r="B135" s="14" t="s">
        <v>77</v>
      </c>
    </row>
    <row r="136" spans="1:2" x14ac:dyDescent="0.25">
      <c r="A136" s="14">
        <v>10754</v>
      </c>
      <c r="B136" s="14" t="s">
        <v>77</v>
      </c>
    </row>
    <row r="137" spans="1:2" x14ac:dyDescent="0.25">
      <c r="A137" s="14">
        <v>10757</v>
      </c>
      <c r="B137" s="14" t="s">
        <v>77</v>
      </c>
    </row>
    <row r="138" spans="1:2" x14ac:dyDescent="0.25">
      <c r="A138" s="14">
        <v>10761</v>
      </c>
      <c r="B138" s="14" t="s">
        <v>77</v>
      </c>
    </row>
    <row r="139" spans="1:2" x14ac:dyDescent="0.25">
      <c r="A139" s="14">
        <v>10764</v>
      </c>
      <c r="B139" s="14" t="s">
        <v>77</v>
      </c>
    </row>
    <row r="140" spans="1:2" x14ac:dyDescent="0.25">
      <c r="A140" s="14">
        <v>10771</v>
      </c>
      <c r="B140" s="14" t="s">
        <v>77</v>
      </c>
    </row>
    <row r="141" spans="1:2" x14ac:dyDescent="0.25">
      <c r="A141" s="14">
        <v>10775</v>
      </c>
      <c r="B141" s="14" t="s">
        <v>77</v>
      </c>
    </row>
    <row r="142" spans="1:2" x14ac:dyDescent="0.25">
      <c r="A142" s="14">
        <v>10777</v>
      </c>
      <c r="B142" s="14" t="s">
        <v>77</v>
      </c>
    </row>
    <row r="143" spans="1:2" x14ac:dyDescent="0.25">
      <c r="A143" s="14">
        <v>10782</v>
      </c>
      <c r="B143" s="14" t="s">
        <v>77</v>
      </c>
    </row>
    <row r="144" spans="1:2" x14ac:dyDescent="0.25">
      <c r="A144" s="14">
        <v>10790</v>
      </c>
      <c r="B144" s="14" t="s">
        <v>77</v>
      </c>
    </row>
    <row r="145" spans="1:2" x14ac:dyDescent="0.25">
      <c r="A145" s="14">
        <v>10791</v>
      </c>
      <c r="B145" s="14" t="s">
        <v>77</v>
      </c>
    </row>
    <row r="146" spans="1:2" x14ac:dyDescent="0.25">
      <c r="A146" s="14">
        <v>10794</v>
      </c>
      <c r="B146" s="14" t="s">
        <v>77</v>
      </c>
    </row>
    <row r="147" spans="1:2" x14ac:dyDescent="0.25">
      <c r="A147" s="14">
        <v>10797</v>
      </c>
      <c r="B147" s="14" t="s">
        <v>77</v>
      </c>
    </row>
    <row r="148" spans="1:2" x14ac:dyDescent="0.25">
      <c r="A148" s="14">
        <v>10799</v>
      </c>
      <c r="B148" s="14" t="s">
        <v>77</v>
      </c>
    </row>
    <row r="149" spans="1:2" x14ac:dyDescent="0.25">
      <c r="A149" s="14">
        <v>10804</v>
      </c>
      <c r="B149" s="14" t="s">
        <v>77</v>
      </c>
    </row>
    <row r="150" spans="1:2" x14ac:dyDescent="0.25">
      <c r="A150" s="14">
        <v>10809</v>
      </c>
      <c r="B150" s="14" t="s">
        <v>77</v>
      </c>
    </row>
    <row r="151" spans="1:2" x14ac:dyDescent="0.25">
      <c r="A151" s="14">
        <v>10812</v>
      </c>
      <c r="B151" s="14" t="s">
        <v>77</v>
      </c>
    </row>
    <row r="152" spans="1:2" x14ac:dyDescent="0.25">
      <c r="A152" s="14">
        <v>10818</v>
      </c>
      <c r="B152" s="14" t="s">
        <v>77</v>
      </c>
    </row>
    <row r="153" spans="1:2" x14ac:dyDescent="0.25">
      <c r="A153" s="14">
        <v>10822</v>
      </c>
      <c r="B153" s="14" t="s">
        <v>77</v>
      </c>
    </row>
    <row r="154" spans="1:2" x14ac:dyDescent="0.25">
      <c r="A154" s="14">
        <v>10823</v>
      </c>
      <c r="B154" s="14" t="s">
        <v>77</v>
      </c>
    </row>
    <row r="155" spans="1:2" x14ac:dyDescent="0.25">
      <c r="A155" s="14">
        <v>10826</v>
      </c>
      <c r="B155" s="14" t="s">
        <v>77</v>
      </c>
    </row>
    <row r="156" spans="1:2" x14ac:dyDescent="0.25">
      <c r="A156" s="14">
        <v>10828</v>
      </c>
      <c r="B156" s="14" t="s">
        <v>77</v>
      </c>
    </row>
    <row r="157" spans="1:2" x14ac:dyDescent="0.25">
      <c r="A157" s="14">
        <v>10829</v>
      </c>
      <c r="B157" s="14" t="s">
        <v>77</v>
      </c>
    </row>
    <row r="158" spans="1:2" x14ac:dyDescent="0.25">
      <c r="A158" s="14">
        <v>10833</v>
      </c>
      <c r="B158" s="14" t="s">
        <v>77</v>
      </c>
    </row>
    <row r="159" spans="1:2" x14ac:dyDescent="0.25">
      <c r="A159" s="14">
        <v>10836</v>
      </c>
      <c r="B159" s="14" t="s">
        <v>77</v>
      </c>
    </row>
    <row r="160" spans="1:2" x14ac:dyDescent="0.25">
      <c r="A160" s="14">
        <v>10837</v>
      </c>
      <c r="B160" s="14" t="s">
        <v>77</v>
      </c>
    </row>
    <row r="161" spans="1:2" x14ac:dyDescent="0.25">
      <c r="A161" s="14">
        <v>10841</v>
      </c>
      <c r="B161" s="14" t="s">
        <v>77</v>
      </c>
    </row>
    <row r="162" spans="1:2" x14ac:dyDescent="0.25">
      <c r="A162" s="14">
        <v>10848</v>
      </c>
      <c r="B162" s="14" t="s">
        <v>77</v>
      </c>
    </row>
    <row r="163" spans="1:2" x14ac:dyDescent="0.25">
      <c r="A163" s="14">
        <v>10849</v>
      </c>
      <c r="B163" s="14" t="s">
        <v>77</v>
      </c>
    </row>
    <row r="164" spans="1:2" x14ac:dyDescent="0.25">
      <c r="A164" s="14">
        <v>10851</v>
      </c>
      <c r="B164" s="14" t="s">
        <v>77</v>
      </c>
    </row>
    <row r="165" spans="1:2" x14ac:dyDescent="0.25">
      <c r="A165" s="14">
        <v>10853</v>
      </c>
      <c r="B165" s="14" t="s">
        <v>77</v>
      </c>
    </row>
    <row r="166" spans="1:2" x14ac:dyDescent="0.25">
      <c r="A166" s="14">
        <v>10866</v>
      </c>
      <c r="B166" s="14" t="s">
        <v>77</v>
      </c>
    </row>
    <row r="167" spans="1:2" x14ac:dyDescent="0.25">
      <c r="A167" s="14">
        <v>10867</v>
      </c>
      <c r="B167" s="14" t="s">
        <v>77</v>
      </c>
    </row>
    <row r="168" spans="1:2" x14ac:dyDescent="0.25">
      <c r="A168" s="14">
        <v>10868</v>
      </c>
      <c r="B168" s="14" t="s">
        <v>77</v>
      </c>
    </row>
    <row r="169" spans="1:2" x14ac:dyDescent="0.25">
      <c r="A169" s="14">
        <v>10869</v>
      </c>
      <c r="B169" s="14" t="s">
        <v>77</v>
      </c>
    </row>
    <row r="170" spans="1:2" x14ac:dyDescent="0.25">
      <c r="A170" s="14">
        <v>10870</v>
      </c>
      <c r="B170" s="14" t="s">
        <v>77</v>
      </c>
    </row>
    <row r="171" spans="1:2" x14ac:dyDescent="0.25">
      <c r="A171" s="14">
        <v>10871</v>
      </c>
      <c r="B171" s="14" t="s">
        <v>77</v>
      </c>
    </row>
    <row r="172" spans="1:2" x14ac:dyDescent="0.25">
      <c r="A172" s="14">
        <v>10872</v>
      </c>
      <c r="B172" s="14" t="s">
        <v>77</v>
      </c>
    </row>
    <row r="173" spans="1:2" x14ac:dyDescent="0.25">
      <c r="A173" s="14">
        <v>10874</v>
      </c>
      <c r="B173" s="14" t="s">
        <v>77</v>
      </c>
    </row>
    <row r="174" spans="1:2" x14ac:dyDescent="0.25">
      <c r="A174" s="14">
        <v>10876</v>
      </c>
      <c r="B174" s="14" t="s">
        <v>77</v>
      </c>
    </row>
    <row r="175" spans="1:2" x14ac:dyDescent="0.25">
      <c r="A175" s="14">
        <v>10880</v>
      </c>
      <c r="B175" s="14" t="s">
        <v>77</v>
      </c>
    </row>
    <row r="176" spans="1:2" x14ac:dyDescent="0.25">
      <c r="A176" s="14">
        <v>10885</v>
      </c>
      <c r="B176" s="14" t="s">
        <v>77</v>
      </c>
    </row>
    <row r="177" spans="1:2" x14ac:dyDescent="0.25">
      <c r="A177" s="14">
        <v>10889</v>
      </c>
      <c r="B177" s="14" t="s">
        <v>77</v>
      </c>
    </row>
    <row r="178" spans="1:2" x14ac:dyDescent="0.25">
      <c r="A178" s="14">
        <v>10890</v>
      </c>
      <c r="B178" s="14" t="s">
        <v>77</v>
      </c>
    </row>
    <row r="179" spans="1:2" x14ac:dyDescent="0.25">
      <c r="A179" s="14">
        <v>10891</v>
      </c>
      <c r="B179" s="14" t="s">
        <v>77</v>
      </c>
    </row>
    <row r="180" spans="1:2" x14ac:dyDescent="0.25">
      <c r="A180" s="14">
        <v>10893</v>
      </c>
      <c r="B180" s="14" t="s">
        <v>77</v>
      </c>
    </row>
    <row r="181" spans="1:2" x14ac:dyDescent="0.25">
      <c r="A181" s="14">
        <v>10896</v>
      </c>
      <c r="B181" s="14" t="s">
        <v>77</v>
      </c>
    </row>
    <row r="182" spans="1:2" x14ac:dyDescent="0.25">
      <c r="A182" s="14">
        <v>10899</v>
      </c>
      <c r="B182" s="14" t="s">
        <v>77</v>
      </c>
    </row>
    <row r="183" spans="1:2" x14ac:dyDescent="0.25">
      <c r="A183" s="14">
        <v>10905</v>
      </c>
      <c r="B183" s="14" t="s">
        <v>77</v>
      </c>
    </row>
    <row r="184" spans="1:2" x14ac:dyDescent="0.25">
      <c r="A184" s="14">
        <v>10907</v>
      </c>
      <c r="B184" s="14" t="s">
        <v>77</v>
      </c>
    </row>
    <row r="185" spans="1:2" x14ac:dyDescent="0.25">
      <c r="A185" s="14">
        <v>10914</v>
      </c>
      <c r="B185" s="14" t="s">
        <v>77</v>
      </c>
    </row>
    <row r="186" spans="1:2" x14ac:dyDescent="0.25">
      <c r="A186" s="14">
        <v>10922</v>
      </c>
      <c r="B186" s="14" t="s">
        <v>77</v>
      </c>
    </row>
    <row r="187" spans="1:2" x14ac:dyDescent="0.25">
      <c r="A187" s="14">
        <v>10923</v>
      </c>
      <c r="B187" s="14" t="s">
        <v>77</v>
      </c>
    </row>
    <row r="188" spans="1:2" x14ac:dyDescent="0.25">
      <c r="A188" s="14">
        <v>10929</v>
      </c>
      <c r="B188" s="14" t="s">
        <v>77</v>
      </c>
    </row>
    <row r="189" spans="1:2" x14ac:dyDescent="0.25">
      <c r="A189" s="14">
        <v>10933</v>
      </c>
      <c r="B189" s="14" t="s">
        <v>77</v>
      </c>
    </row>
    <row r="190" spans="1:2" x14ac:dyDescent="0.25">
      <c r="A190" s="14">
        <v>10937</v>
      </c>
      <c r="B190" s="14" t="s">
        <v>77</v>
      </c>
    </row>
    <row r="191" spans="1:2" x14ac:dyDescent="0.25">
      <c r="A191" s="14">
        <v>10941</v>
      </c>
      <c r="B191" s="14" t="s">
        <v>77</v>
      </c>
    </row>
    <row r="192" spans="1:2" x14ac:dyDescent="0.25">
      <c r="A192" s="14">
        <v>10942</v>
      </c>
      <c r="B192" s="14" t="s">
        <v>77</v>
      </c>
    </row>
    <row r="193" spans="1:2" x14ac:dyDescent="0.25">
      <c r="A193" s="14">
        <v>10944</v>
      </c>
      <c r="B193" s="14" t="s">
        <v>77</v>
      </c>
    </row>
    <row r="194" spans="1:2" x14ac:dyDescent="0.25">
      <c r="A194" s="14">
        <v>10951</v>
      </c>
      <c r="B194" s="14" t="s">
        <v>77</v>
      </c>
    </row>
    <row r="195" spans="1:2" x14ac:dyDescent="0.25">
      <c r="A195" s="14">
        <v>10953</v>
      </c>
      <c r="B195" s="14" t="s">
        <v>77</v>
      </c>
    </row>
    <row r="196" spans="1:2" x14ac:dyDescent="0.25">
      <c r="A196" s="14">
        <v>10954</v>
      </c>
      <c r="B196" s="14" t="s">
        <v>77</v>
      </c>
    </row>
    <row r="197" spans="1:2" x14ac:dyDescent="0.25">
      <c r="A197" s="14">
        <v>10956</v>
      </c>
      <c r="B197" s="14" t="s">
        <v>77</v>
      </c>
    </row>
    <row r="198" spans="1:2" x14ac:dyDescent="0.25">
      <c r="A198" s="14">
        <v>10958</v>
      </c>
      <c r="B198" s="14" t="s">
        <v>77</v>
      </c>
    </row>
    <row r="199" spans="1:2" x14ac:dyDescent="0.25">
      <c r="A199" s="14">
        <v>10959</v>
      </c>
      <c r="B199" s="14" t="s">
        <v>77</v>
      </c>
    </row>
    <row r="200" spans="1:2" x14ac:dyDescent="0.25">
      <c r="A200" s="14">
        <v>10963</v>
      </c>
      <c r="B200" s="14" t="s">
        <v>77</v>
      </c>
    </row>
    <row r="201" spans="1:2" x14ac:dyDescent="0.25">
      <c r="A201" s="14">
        <v>10965</v>
      </c>
      <c r="B201" s="14" t="s">
        <v>77</v>
      </c>
    </row>
    <row r="202" spans="1:2" x14ac:dyDescent="0.25">
      <c r="A202" s="14">
        <v>10970</v>
      </c>
      <c r="B202" s="14" t="s">
        <v>77</v>
      </c>
    </row>
    <row r="203" spans="1:2" x14ac:dyDescent="0.25">
      <c r="A203" s="14">
        <v>10973</v>
      </c>
      <c r="B203" s="14" t="s">
        <v>77</v>
      </c>
    </row>
    <row r="204" spans="1:2" x14ac:dyDescent="0.25">
      <c r="A204" s="14">
        <v>10978</v>
      </c>
      <c r="B204" s="14" t="s">
        <v>77</v>
      </c>
    </row>
    <row r="205" spans="1:2" x14ac:dyDescent="0.25">
      <c r="A205" s="14">
        <v>10993</v>
      </c>
      <c r="B205" s="14" t="s">
        <v>77</v>
      </c>
    </row>
    <row r="206" spans="1:2" x14ac:dyDescent="0.25">
      <c r="A206" s="14">
        <v>10999</v>
      </c>
      <c r="B206" s="14" t="s">
        <v>77</v>
      </c>
    </row>
    <row r="207" spans="1:2" x14ac:dyDescent="0.25">
      <c r="A207" s="14">
        <v>11016</v>
      </c>
      <c r="B207" s="14" t="s">
        <v>77</v>
      </c>
    </row>
    <row r="208" spans="1:2" x14ac:dyDescent="0.25">
      <c r="A208" s="14">
        <v>11017</v>
      </c>
      <c r="B208" s="14" t="s">
        <v>77</v>
      </c>
    </row>
    <row r="209" spans="1:2" x14ac:dyDescent="0.25">
      <c r="A209" s="14">
        <v>11025</v>
      </c>
      <c r="B209" s="14" t="s">
        <v>77</v>
      </c>
    </row>
    <row r="210" spans="1:2" x14ac:dyDescent="0.25">
      <c r="A210" s="14">
        <v>11030</v>
      </c>
      <c r="B210" s="14" t="s">
        <v>77</v>
      </c>
    </row>
    <row r="211" spans="1:2" x14ac:dyDescent="0.25">
      <c r="A211" s="14">
        <v>11031</v>
      </c>
      <c r="B211" s="14" t="s">
        <v>77</v>
      </c>
    </row>
    <row r="212" spans="1:2" x14ac:dyDescent="0.25">
      <c r="A212" s="14">
        <v>11033</v>
      </c>
      <c r="B212" s="14" t="s">
        <v>77</v>
      </c>
    </row>
    <row r="213" spans="1:2" x14ac:dyDescent="0.25">
      <c r="A213" s="14">
        <v>11037</v>
      </c>
      <c r="B213" s="14" t="s">
        <v>77</v>
      </c>
    </row>
    <row r="214" spans="1:2" x14ac:dyDescent="0.25">
      <c r="A214" s="14">
        <v>11043</v>
      </c>
      <c r="B214" s="14" t="s">
        <v>77</v>
      </c>
    </row>
    <row r="215" spans="1:2" x14ac:dyDescent="0.25">
      <c r="A215" s="14">
        <v>11047</v>
      </c>
      <c r="B215" s="14" t="s">
        <v>77</v>
      </c>
    </row>
    <row r="216" spans="1:2" x14ac:dyDescent="0.25">
      <c r="A216" s="14">
        <v>11048</v>
      </c>
      <c r="B216" s="14" t="s">
        <v>77</v>
      </c>
    </row>
    <row r="217" spans="1:2" x14ac:dyDescent="0.25">
      <c r="A217" s="14">
        <v>10250</v>
      </c>
      <c r="B217" s="14" t="s">
        <v>78</v>
      </c>
    </row>
    <row r="218" spans="1:2" x14ac:dyDescent="0.25">
      <c r="A218" s="14">
        <v>10251</v>
      </c>
      <c r="B218" s="14" t="s">
        <v>78</v>
      </c>
    </row>
    <row r="219" spans="1:2" x14ac:dyDescent="0.25">
      <c r="A219" s="14">
        <v>10252</v>
      </c>
      <c r="B219" s="14" t="s">
        <v>78</v>
      </c>
    </row>
    <row r="220" spans="1:2" x14ac:dyDescent="0.25">
      <c r="A220" s="14">
        <v>10253</v>
      </c>
      <c r="B220" s="14" t="s">
        <v>78</v>
      </c>
    </row>
    <row r="221" spans="1:2" x14ac:dyDescent="0.25">
      <c r="A221" s="14">
        <v>10256</v>
      </c>
      <c r="B221" s="14" t="s">
        <v>78</v>
      </c>
    </row>
    <row r="222" spans="1:2" x14ac:dyDescent="0.25">
      <c r="A222" s="14">
        <v>10257</v>
      </c>
      <c r="B222" s="14" t="s">
        <v>78</v>
      </c>
    </row>
    <row r="223" spans="1:2" x14ac:dyDescent="0.25">
      <c r="A223" s="14">
        <v>10258</v>
      </c>
      <c r="B223" s="14" t="s">
        <v>78</v>
      </c>
    </row>
    <row r="224" spans="1:2" x14ac:dyDescent="0.25">
      <c r="A224" s="14">
        <v>10259</v>
      </c>
      <c r="B224" s="14" t="s">
        <v>78</v>
      </c>
    </row>
    <row r="225" spans="1:2" x14ac:dyDescent="0.25">
      <c r="A225" s="14">
        <v>10260</v>
      </c>
      <c r="B225" s="14" t="s">
        <v>78</v>
      </c>
    </row>
    <row r="226" spans="1:2" x14ac:dyDescent="0.25">
      <c r="A226" s="14">
        <v>10261</v>
      </c>
      <c r="B226" s="14" t="s">
        <v>78</v>
      </c>
    </row>
    <row r="227" spans="1:2" x14ac:dyDescent="0.25">
      <c r="A227" s="14">
        <v>10262</v>
      </c>
      <c r="B227" s="14" t="s">
        <v>78</v>
      </c>
    </row>
    <row r="228" spans="1:2" x14ac:dyDescent="0.25">
      <c r="A228" s="14">
        <v>10265</v>
      </c>
      <c r="B228" s="14" t="s">
        <v>78</v>
      </c>
    </row>
    <row r="229" spans="1:2" x14ac:dyDescent="0.25">
      <c r="A229" s="14">
        <v>10266</v>
      </c>
      <c r="B229" s="14" t="s">
        <v>78</v>
      </c>
    </row>
    <row r="230" spans="1:2" x14ac:dyDescent="0.25">
      <c r="A230" s="14">
        <v>10267</v>
      </c>
      <c r="B230" s="14" t="s">
        <v>78</v>
      </c>
    </row>
    <row r="231" spans="1:2" x14ac:dyDescent="0.25">
      <c r="A231" s="14">
        <v>10268</v>
      </c>
      <c r="B231" s="14" t="s">
        <v>78</v>
      </c>
    </row>
    <row r="232" spans="1:2" x14ac:dyDescent="0.25">
      <c r="A232" s="14">
        <v>10270</v>
      </c>
      <c r="B232" s="14" t="s">
        <v>78</v>
      </c>
    </row>
    <row r="233" spans="1:2" x14ac:dyDescent="0.25">
      <c r="A233" s="14">
        <v>10273</v>
      </c>
      <c r="B233" s="14" t="s">
        <v>78</v>
      </c>
    </row>
    <row r="234" spans="1:2" x14ac:dyDescent="0.25">
      <c r="A234" s="14">
        <v>10275</v>
      </c>
      <c r="B234" s="14" t="s">
        <v>78</v>
      </c>
    </row>
    <row r="235" spans="1:2" x14ac:dyDescent="0.25">
      <c r="A235" s="14">
        <v>10276</v>
      </c>
      <c r="B235" s="14" t="s">
        <v>78</v>
      </c>
    </row>
    <row r="236" spans="1:2" x14ac:dyDescent="0.25">
      <c r="A236" s="14">
        <v>10277</v>
      </c>
      <c r="B236" s="14" t="s">
        <v>78</v>
      </c>
    </row>
    <row r="237" spans="1:2" x14ac:dyDescent="0.25">
      <c r="A237" s="14">
        <v>10278</v>
      </c>
      <c r="B237" s="14" t="s">
        <v>78</v>
      </c>
    </row>
    <row r="238" spans="1:2" x14ac:dyDescent="0.25">
      <c r="A238" s="14">
        <v>10279</v>
      </c>
      <c r="B238" s="14" t="s">
        <v>78</v>
      </c>
    </row>
    <row r="239" spans="1:2" x14ac:dyDescent="0.25">
      <c r="A239" s="14">
        <v>10280</v>
      </c>
      <c r="B239" s="14" t="s">
        <v>78</v>
      </c>
    </row>
    <row r="240" spans="1:2" x14ac:dyDescent="0.25">
      <c r="A240" s="14">
        <v>10281</v>
      </c>
      <c r="B240" s="14" t="s">
        <v>78</v>
      </c>
    </row>
    <row r="241" spans="1:2" x14ac:dyDescent="0.25">
      <c r="A241" s="14">
        <v>10282</v>
      </c>
      <c r="B241" s="14" t="s">
        <v>78</v>
      </c>
    </row>
    <row r="242" spans="1:2" x14ac:dyDescent="0.25">
      <c r="A242" s="14">
        <v>10283</v>
      </c>
      <c r="B242" s="14" t="s">
        <v>78</v>
      </c>
    </row>
    <row r="243" spans="1:2" x14ac:dyDescent="0.25">
      <c r="A243" s="14">
        <v>10284</v>
      </c>
      <c r="B243" s="14" t="s">
        <v>78</v>
      </c>
    </row>
    <row r="244" spans="1:2" x14ac:dyDescent="0.25">
      <c r="A244" s="14">
        <v>10285</v>
      </c>
      <c r="B244" s="14" t="s">
        <v>78</v>
      </c>
    </row>
    <row r="245" spans="1:2" x14ac:dyDescent="0.25">
      <c r="A245" s="14">
        <v>10286</v>
      </c>
      <c r="B245" s="14" t="s">
        <v>78</v>
      </c>
    </row>
    <row r="246" spans="1:2" x14ac:dyDescent="0.25">
      <c r="A246" s="14">
        <v>10287</v>
      </c>
      <c r="B246" s="14" t="s">
        <v>78</v>
      </c>
    </row>
    <row r="247" spans="1:2" x14ac:dyDescent="0.25">
      <c r="A247" s="14">
        <v>10288</v>
      </c>
      <c r="B247" s="14" t="s">
        <v>78</v>
      </c>
    </row>
    <row r="248" spans="1:2" x14ac:dyDescent="0.25">
      <c r="A248" s="14">
        <v>10290</v>
      </c>
      <c r="B248" s="14" t="s">
        <v>78</v>
      </c>
    </row>
    <row r="249" spans="1:2" x14ac:dyDescent="0.25">
      <c r="A249" s="14">
        <v>10292</v>
      </c>
      <c r="B249" s="14" t="s">
        <v>78</v>
      </c>
    </row>
    <row r="250" spans="1:2" x14ac:dyDescent="0.25">
      <c r="A250" s="14">
        <v>10293</v>
      </c>
      <c r="B250" s="14" t="s">
        <v>78</v>
      </c>
    </row>
    <row r="251" spans="1:2" x14ac:dyDescent="0.25">
      <c r="A251" s="14">
        <v>10294</v>
      </c>
      <c r="B251" s="14" t="s">
        <v>78</v>
      </c>
    </row>
    <row r="252" spans="1:2" x14ac:dyDescent="0.25">
      <c r="A252" s="14">
        <v>10295</v>
      </c>
      <c r="B252" s="14" t="s">
        <v>78</v>
      </c>
    </row>
    <row r="253" spans="1:2" x14ac:dyDescent="0.25">
      <c r="A253" s="14">
        <v>10299</v>
      </c>
      <c r="B253" s="14" t="s">
        <v>78</v>
      </c>
    </row>
    <row r="254" spans="1:2" x14ac:dyDescent="0.25">
      <c r="A254" s="14">
        <v>10300</v>
      </c>
      <c r="B254" s="14" t="s">
        <v>78</v>
      </c>
    </row>
    <row r="255" spans="1:2" x14ac:dyDescent="0.25">
      <c r="A255" s="14">
        <v>10301</v>
      </c>
      <c r="B255" s="14" t="s">
        <v>78</v>
      </c>
    </row>
    <row r="256" spans="1:2" x14ac:dyDescent="0.25">
      <c r="A256" s="14">
        <v>10302</v>
      </c>
      <c r="B256" s="14" t="s">
        <v>78</v>
      </c>
    </row>
    <row r="257" spans="1:2" x14ac:dyDescent="0.25">
      <c r="A257" s="14">
        <v>10304</v>
      </c>
      <c r="B257" s="14" t="s">
        <v>78</v>
      </c>
    </row>
    <row r="258" spans="1:2" x14ac:dyDescent="0.25">
      <c r="A258" s="14">
        <v>10305</v>
      </c>
      <c r="B258" s="14" t="s">
        <v>78</v>
      </c>
    </row>
    <row r="259" spans="1:2" x14ac:dyDescent="0.25">
      <c r="A259" s="14">
        <v>10306</v>
      </c>
      <c r="B259" s="14" t="s">
        <v>78</v>
      </c>
    </row>
    <row r="260" spans="1:2" x14ac:dyDescent="0.25">
      <c r="A260" s="14">
        <v>10307</v>
      </c>
      <c r="B260" s="14" t="s">
        <v>78</v>
      </c>
    </row>
    <row r="261" spans="1:2" x14ac:dyDescent="0.25">
      <c r="A261" s="14">
        <v>10309</v>
      </c>
      <c r="B261" s="14" t="s">
        <v>78</v>
      </c>
    </row>
    <row r="262" spans="1:2" x14ac:dyDescent="0.25">
      <c r="A262" s="14">
        <v>10310</v>
      </c>
      <c r="B262" s="14" t="s">
        <v>78</v>
      </c>
    </row>
    <row r="263" spans="1:2" x14ac:dyDescent="0.25">
      <c r="A263" s="14">
        <v>10311</v>
      </c>
      <c r="B263" s="14" t="s">
        <v>78</v>
      </c>
    </row>
    <row r="264" spans="1:2" x14ac:dyDescent="0.25">
      <c r="A264" s="14">
        <v>10312</v>
      </c>
      <c r="B264" s="14" t="s">
        <v>78</v>
      </c>
    </row>
    <row r="265" spans="1:2" x14ac:dyDescent="0.25">
      <c r="A265" s="14">
        <v>10313</v>
      </c>
      <c r="B265" s="14" t="s">
        <v>78</v>
      </c>
    </row>
    <row r="266" spans="1:2" x14ac:dyDescent="0.25">
      <c r="A266" s="14">
        <v>10314</v>
      </c>
      <c r="B266" s="14" t="s">
        <v>78</v>
      </c>
    </row>
    <row r="267" spans="1:2" x14ac:dyDescent="0.25">
      <c r="A267" s="14">
        <v>10315</v>
      </c>
      <c r="B267" s="14" t="s">
        <v>78</v>
      </c>
    </row>
    <row r="268" spans="1:2" x14ac:dyDescent="0.25">
      <c r="A268" s="14">
        <v>10316</v>
      </c>
      <c r="B268" s="14" t="s">
        <v>78</v>
      </c>
    </row>
    <row r="269" spans="1:2" x14ac:dyDescent="0.25">
      <c r="A269" s="14">
        <v>10318</v>
      </c>
      <c r="B269" s="14" t="s">
        <v>78</v>
      </c>
    </row>
    <row r="270" spans="1:2" x14ac:dyDescent="0.25">
      <c r="A270" s="14">
        <v>10321</v>
      </c>
      <c r="B270" s="14" t="s">
        <v>78</v>
      </c>
    </row>
    <row r="271" spans="1:2" x14ac:dyDescent="0.25">
      <c r="A271" s="14">
        <v>10323</v>
      </c>
      <c r="B271" s="14" t="s">
        <v>78</v>
      </c>
    </row>
    <row r="272" spans="1:2" x14ac:dyDescent="0.25">
      <c r="A272" s="14">
        <v>10325</v>
      </c>
      <c r="B272" s="14" t="s">
        <v>78</v>
      </c>
    </row>
    <row r="273" spans="1:2" x14ac:dyDescent="0.25">
      <c r="A273" s="14">
        <v>10326</v>
      </c>
      <c r="B273" s="14" t="s">
        <v>78</v>
      </c>
    </row>
    <row r="274" spans="1:2" x14ac:dyDescent="0.25">
      <c r="A274" s="14">
        <v>10327</v>
      </c>
      <c r="B274" s="14" t="s">
        <v>78</v>
      </c>
    </row>
    <row r="275" spans="1:2" x14ac:dyDescent="0.25">
      <c r="A275" s="14">
        <v>10328</v>
      </c>
      <c r="B275" s="14" t="s">
        <v>78</v>
      </c>
    </row>
    <row r="276" spans="1:2" x14ac:dyDescent="0.25">
      <c r="A276" s="14">
        <v>10329</v>
      </c>
      <c r="B276" s="14" t="s">
        <v>78</v>
      </c>
    </row>
    <row r="277" spans="1:2" x14ac:dyDescent="0.25">
      <c r="A277" s="14">
        <v>10330</v>
      </c>
      <c r="B277" s="14" t="s">
        <v>78</v>
      </c>
    </row>
    <row r="278" spans="1:2" x14ac:dyDescent="0.25">
      <c r="A278" s="14">
        <v>10332</v>
      </c>
      <c r="B278" s="14" t="s">
        <v>78</v>
      </c>
    </row>
    <row r="279" spans="1:2" x14ac:dyDescent="0.25">
      <c r="A279" s="14">
        <v>10334</v>
      </c>
      <c r="B279" s="14" t="s">
        <v>78</v>
      </c>
    </row>
    <row r="280" spans="1:2" x14ac:dyDescent="0.25">
      <c r="A280" s="14">
        <v>10337</v>
      </c>
      <c r="B280" s="14" t="s">
        <v>78</v>
      </c>
    </row>
    <row r="281" spans="1:2" x14ac:dyDescent="0.25">
      <c r="A281" s="14">
        <v>10338</v>
      </c>
      <c r="B281" s="14" t="s">
        <v>78</v>
      </c>
    </row>
    <row r="282" spans="1:2" x14ac:dyDescent="0.25">
      <c r="A282" s="14">
        <v>10339</v>
      </c>
      <c r="B282" s="14" t="s">
        <v>78</v>
      </c>
    </row>
    <row r="283" spans="1:2" x14ac:dyDescent="0.25">
      <c r="A283" s="14">
        <v>10340</v>
      </c>
      <c r="B283" s="14" t="s">
        <v>78</v>
      </c>
    </row>
    <row r="284" spans="1:2" x14ac:dyDescent="0.25">
      <c r="A284" s="14">
        <v>10342</v>
      </c>
      <c r="B284" s="14" t="s">
        <v>78</v>
      </c>
    </row>
    <row r="285" spans="1:2" x14ac:dyDescent="0.25">
      <c r="A285" s="14">
        <v>10343</v>
      </c>
      <c r="B285" s="14" t="s">
        <v>78</v>
      </c>
    </row>
    <row r="286" spans="1:2" x14ac:dyDescent="0.25">
      <c r="A286" s="14">
        <v>10344</v>
      </c>
      <c r="B286" s="14" t="s">
        <v>78</v>
      </c>
    </row>
    <row r="287" spans="1:2" x14ac:dyDescent="0.25">
      <c r="A287" s="14">
        <v>10345</v>
      </c>
      <c r="B287" s="14" t="s">
        <v>78</v>
      </c>
    </row>
    <row r="288" spans="1:2" x14ac:dyDescent="0.25">
      <c r="A288" s="14">
        <v>10346</v>
      </c>
      <c r="B288" s="14" t="s">
        <v>78</v>
      </c>
    </row>
    <row r="289" spans="1:2" x14ac:dyDescent="0.25">
      <c r="A289" s="14">
        <v>10347</v>
      </c>
      <c r="B289" s="14" t="s">
        <v>78</v>
      </c>
    </row>
    <row r="290" spans="1:2" x14ac:dyDescent="0.25">
      <c r="A290" s="14">
        <v>10348</v>
      </c>
      <c r="B290" s="14" t="s">
        <v>78</v>
      </c>
    </row>
    <row r="291" spans="1:2" x14ac:dyDescent="0.25">
      <c r="A291" s="14">
        <v>10351</v>
      </c>
      <c r="B291" s="14" t="s">
        <v>78</v>
      </c>
    </row>
    <row r="292" spans="1:2" x14ac:dyDescent="0.25">
      <c r="A292" s="14">
        <v>10352</v>
      </c>
      <c r="B292" s="14" t="s">
        <v>78</v>
      </c>
    </row>
    <row r="293" spans="1:2" x14ac:dyDescent="0.25">
      <c r="A293" s="14">
        <v>10354</v>
      </c>
      <c r="B293" s="14" t="s">
        <v>78</v>
      </c>
    </row>
    <row r="294" spans="1:2" x14ac:dyDescent="0.25">
      <c r="A294" s="14">
        <v>10357</v>
      </c>
      <c r="B294" s="14" t="s">
        <v>78</v>
      </c>
    </row>
    <row r="295" spans="1:2" x14ac:dyDescent="0.25">
      <c r="A295" s="14">
        <v>10360</v>
      </c>
      <c r="B295" s="14" t="s">
        <v>78</v>
      </c>
    </row>
    <row r="296" spans="1:2" x14ac:dyDescent="0.25">
      <c r="A296" s="14">
        <v>10361</v>
      </c>
      <c r="B296" s="14" t="s">
        <v>78</v>
      </c>
    </row>
    <row r="297" spans="1:2" x14ac:dyDescent="0.25">
      <c r="A297" s="14">
        <v>10362</v>
      </c>
      <c r="B297" s="14" t="s">
        <v>78</v>
      </c>
    </row>
    <row r="298" spans="1:2" x14ac:dyDescent="0.25">
      <c r="A298" s="14">
        <v>10363</v>
      </c>
      <c r="B298" s="14" t="s">
        <v>78</v>
      </c>
    </row>
    <row r="299" spans="1:2" x14ac:dyDescent="0.25">
      <c r="A299" s="14">
        <v>10364</v>
      </c>
      <c r="B299" s="14" t="s">
        <v>78</v>
      </c>
    </row>
    <row r="300" spans="1:2" x14ac:dyDescent="0.25">
      <c r="A300" s="14">
        <v>10365</v>
      </c>
      <c r="B300" s="14" t="s">
        <v>78</v>
      </c>
    </row>
    <row r="301" spans="1:2" x14ac:dyDescent="0.25">
      <c r="A301" s="14">
        <v>10366</v>
      </c>
      <c r="B301" s="14" t="s">
        <v>78</v>
      </c>
    </row>
    <row r="302" spans="1:2" x14ac:dyDescent="0.25">
      <c r="A302" s="14">
        <v>10368</v>
      </c>
      <c r="B302" s="14" t="s">
        <v>78</v>
      </c>
    </row>
    <row r="303" spans="1:2" x14ac:dyDescent="0.25">
      <c r="A303" s="14">
        <v>10369</v>
      </c>
      <c r="B303" s="14" t="s">
        <v>78</v>
      </c>
    </row>
    <row r="304" spans="1:2" x14ac:dyDescent="0.25">
      <c r="A304" s="14">
        <v>10371</v>
      </c>
      <c r="B304" s="14" t="s">
        <v>78</v>
      </c>
    </row>
    <row r="305" spans="1:2" x14ac:dyDescent="0.25">
      <c r="A305" s="14">
        <v>10373</v>
      </c>
      <c r="B305" s="14" t="s">
        <v>78</v>
      </c>
    </row>
    <row r="306" spans="1:2" x14ac:dyDescent="0.25">
      <c r="A306" s="14">
        <v>10374</v>
      </c>
      <c r="B306" s="14" t="s">
        <v>78</v>
      </c>
    </row>
    <row r="307" spans="1:2" x14ac:dyDescent="0.25">
      <c r="A307" s="14">
        <v>10375</v>
      </c>
      <c r="B307" s="14" t="s">
        <v>78</v>
      </c>
    </row>
    <row r="308" spans="1:2" x14ac:dyDescent="0.25">
      <c r="A308" s="14">
        <v>10376</v>
      </c>
      <c r="B308" s="14" t="s">
        <v>78</v>
      </c>
    </row>
    <row r="309" spans="1:2" x14ac:dyDescent="0.25">
      <c r="A309" s="14">
        <v>10377</v>
      </c>
      <c r="B309" s="14" t="s">
        <v>78</v>
      </c>
    </row>
    <row r="310" spans="1:2" x14ac:dyDescent="0.25">
      <c r="A310" s="14">
        <v>10379</v>
      </c>
      <c r="B310" s="14" t="s">
        <v>78</v>
      </c>
    </row>
    <row r="311" spans="1:2" x14ac:dyDescent="0.25">
      <c r="A311" s="14">
        <v>10380</v>
      </c>
      <c r="B311" s="14" t="s">
        <v>78</v>
      </c>
    </row>
    <row r="312" spans="1:2" x14ac:dyDescent="0.25">
      <c r="A312" s="14">
        <v>10381</v>
      </c>
      <c r="B312" s="14" t="s">
        <v>78</v>
      </c>
    </row>
    <row r="313" spans="1:2" x14ac:dyDescent="0.25">
      <c r="A313" s="14">
        <v>10382</v>
      </c>
      <c r="B313" s="14" t="s">
        <v>78</v>
      </c>
    </row>
    <row r="314" spans="1:2" x14ac:dyDescent="0.25">
      <c r="A314" s="14">
        <v>10383</v>
      </c>
      <c r="B314" s="14" t="s">
        <v>78</v>
      </c>
    </row>
    <row r="315" spans="1:2" x14ac:dyDescent="0.25">
      <c r="A315" s="14">
        <v>10384</v>
      </c>
      <c r="B315" s="14" t="s">
        <v>78</v>
      </c>
    </row>
    <row r="316" spans="1:2" x14ac:dyDescent="0.25">
      <c r="A316" s="14">
        <v>10385</v>
      </c>
      <c r="B316" s="14" t="s">
        <v>78</v>
      </c>
    </row>
    <row r="317" spans="1:2" x14ac:dyDescent="0.25">
      <c r="A317" s="14">
        <v>10387</v>
      </c>
      <c r="B317" s="14" t="s">
        <v>78</v>
      </c>
    </row>
    <row r="318" spans="1:2" x14ac:dyDescent="0.25">
      <c r="A318" s="14">
        <v>10388</v>
      </c>
      <c r="B318" s="14" t="s">
        <v>78</v>
      </c>
    </row>
    <row r="319" spans="1:2" x14ac:dyDescent="0.25">
      <c r="A319" s="14">
        <v>10389</v>
      </c>
      <c r="B319" s="14" t="s">
        <v>78</v>
      </c>
    </row>
    <row r="320" spans="1:2" x14ac:dyDescent="0.25">
      <c r="A320" s="14">
        <v>10391</v>
      </c>
      <c r="B320" s="14" t="s">
        <v>78</v>
      </c>
    </row>
    <row r="321" spans="1:2" x14ac:dyDescent="0.25">
      <c r="A321" s="14">
        <v>10392</v>
      </c>
      <c r="B321" s="14" t="s">
        <v>78</v>
      </c>
    </row>
    <row r="322" spans="1:2" x14ac:dyDescent="0.25">
      <c r="A322" s="14">
        <v>10393</v>
      </c>
      <c r="B322" s="14" t="s">
        <v>78</v>
      </c>
    </row>
    <row r="323" spans="1:2" x14ac:dyDescent="0.25">
      <c r="A323" s="14">
        <v>10394</v>
      </c>
      <c r="B323" s="14" t="s">
        <v>78</v>
      </c>
    </row>
    <row r="324" spans="1:2" x14ac:dyDescent="0.25">
      <c r="A324" s="14">
        <v>10396</v>
      </c>
      <c r="B324" s="14" t="s">
        <v>78</v>
      </c>
    </row>
    <row r="325" spans="1:2" x14ac:dyDescent="0.25">
      <c r="A325" s="14">
        <v>10398</v>
      </c>
      <c r="B325" s="14" t="s">
        <v>78</v>
      </c>
    </row>
    <row r="326" spans="1:2" x14ac:dyDescent="0.25">
      <c r="A326" s="14">
        <v>10399</v>
      </c>
      <c r="B326" s="14" t="s">
        <v>78</v>
      </c>
    </row>
    <row r="327" spans="1:2" x14ac:dyDescent="0.25">
      <c r="A327" s="14">
        <v>10400</v>
      </c>
      <c r="B327" s="14" t="s">
        <v>78</v>
      </c>
    </row>
    <row r="328" spans="1:2" x14ac:dyDescent="0.25">
      <c r="A328" s="14">
        <v>10401</v>
      </c>
      <c r="B328" s="14" t="s">
        <v>78</v>
      </c>
    </row>
    <row r="329" spans="1:2" x14ac:dyDescent="0.25">
      <c r="A329" s="14">
        <v>10402</v>
      </c>
      <c r="B329" s="14" t="s">
        <v>78</v>
      </c>
    </row>
    <row r="330" spans="1:2" x14ac:dyDescent="0.25">
      <c r="A330" s="14">
        <v>10403</v>
      </c>
      <c r="B330" s="14" t="s">
        <v>78</v>
      </c>
    </row>
    <row r="331" spans="1:2" x14ac:dyDescent="0.25">
      <c r="A331" s="14">
        <v>10404</v>
      </c>
      <c r="B331" s="14" t="s">
        <v>78</v>
      </c>
    </row>
    <row r="332" spans="1:2" x14ac:dyDescent="0.25">
      <c r="A332" s="14">
        <v>10405</v>
      </c>
      <c r="B332" s="14" t="s">
        <v>78</v>
      </c>
    </row>
    <row r="333" spans="1:2" x14ac:dyDescent="0.25">
      <c r="A333" s="14">
        <v>10407</v>
      </c>
      <c r="B333" s="14" t="s">
        <v>78</v>
      </c>
    </row>
    <row r="334" spans="1:2" x14ac:dyDescent="0.25">
      <c r="A334" s="14">
        <v>10408</v>
      </c>
      <c r="B334" s="14" t="s">
        <v>78</v>
      </c>
    </row>
    <row r="335" spans="1:2" x14ac:dyDescent="0.25">
      <c r="A335" s="14">
        <v>10409</v>
      </c>
      <c r="B335" s="14" t="s">
        <v>78</v>
      </c>
    </row>
    <row r="336" spans="1:2" x14ac:dyDescent="0.25">
      <c r="A336" s="14">
        <v>10410</v>
      </c>
      <c r="B336" s="14" t="s">
        <v>78</v>
      </c>
    </row>
    <row r="337" spans="1:2" x14ac:dyDescent="0.25">
      <c r="A337" s="14">
        <v>10412</v>
      </c>
      <c r="B337" s="14" t="s">
        <v>78</v>
      </c>
    </row>
    <row r="338" spans="1:2" x14ac:dyDescent="0.25">
      <c r="A338" s="14">
        <v>10413</v>
      </c>
      <c r="B338" s="14" t="s">
        <v>78</v>
      </c>
    </row>
    <row r="339" spans="1:2" x14ac:dyDescent="0.25">
      <c r="A339" s="14">
        <v>10414</v>
      </c>
      <c r="B339" s="14" t="s">
        <v>78</v>
      </c>
    </row>
    <row r="340" spans="1:2" x14ac:dyDescent="0.25">
      <c r="A340" s="14">
        <v>10415</v>
      </c>
      <c r="B340" s="14" t="s">
        <v>78</v>
      </c>
    </row>
    <row r="341" spans="1:2" x14ac:dyDescent="0.25">
      <c r="A341" s="14">
        <v>10416</v>
      </c>
      <c r="B341" s="14" t="s">
        <v>78</v>
      </c>
    </row>
    <row r="342" spans="1:2" x14ac:dyDescent="0.25">
      <c r="A342" s="14">
        <v>10417</v>
      </c>
      <c r="B342" s="14" t="s">
        <v>78</v>
      </c>
    </row>
    <row r="343" spans="1:2" x14ac:dyDescent="0.25">
      <c r="A343" s="14">
        <v>10418</v>
      </c>
      <c r="B343" s="14" t="s">
        <v>78</v>
      </c>
    </row>
    <row r="344" spans="1:2" x14ac:dyDescent="0.25">
      <c r="A344" s="14">
        <v>10419</v>
      </c>
      <c r="B344" s="14" t="s">
        <v>78</v>
      </c>
    </row>
    <row r="345" spans="1:2" x14ac:dyDescent="0.25">
      <c r="A345" s="14">
        <v>10420</v>
      </c>
      <c r="B345" s="14" t="s">
        <v>78</v>
      </c>
    </row>
    <row r="346" spans="1:2" x14ac:dyDescent="0.25">
      <c r="A346" s="14">
        <v>10421</v>
      </c>
      <c r="B346" s="14" t="s">
        <v>78</v>
      </c>
    </row>
    <row r="347" spans="1:2" x14ac:dyDescent="0.25">
      <c r="A347" s="14">
        <v>10422</v>
      </c>
      <c r="B347" s="14" t="s">
        <v>78</v>
      </c>
    </row>
    <row r="348" spans="1:2" x14ac:dyDescent="0.25">
      <c r="A348" s="14">
        <v>10426</v>
      </c>
      <c r="B348" s="14" t="s">
        <v>78</v>
      </c>
    </row>
    <row r="349" spans="1:2" x14ac:dyDescent="0.25">
      <c r="A349" s="14">
        <v>10427</v>
      </c>
      <c r="B349" s="14" t="s">
        <v>78</v>
      </c>
    </row>
    <row r="350" spans="1:2" x14ac:dyDescent="0.25">
      <c r="A350" s="14">
        <v>10429</v>
      </c>
      <c r="B350" s="14" t="s">
        <v>78</v>
      </c>
    </row>
    <row r="351" spans="1:2" x14ac:dyDescent="0.25">
      <c r="A351" s="14">
        <v>10430</v>
      </c>
      <c r="B351" s="14" t="s">
        <v>78</v>
      </c>
    </row>
    <row r="352" spans="1:2" x14ac:dyDescent="0.25">
      <c r="A352" s="14">
        <v>10431</v>
      </c>
      <c r="B352" s="14" t="s">
        <v>78</v>
      </c>
    </row>
    <row r="353" spans="1:2" x14ac:dyDescent="0.25">
      <c r="A353" s="14">
        <v>10432</v>
      </c>
      <c r="B353" s="14" t="s">
        <v>78</v>
      </c>
    </row>
    <row r="354" spans="1:2" x14ac:dyDescent="0.25">
      <c r="A354" s="14">
        <v>10433</v>
      </c>
      <c r="B354" s="14" t="s">
        <v>78</v>
      </c>
    </row>
    <row r="355" spans="1:2" x14ac:dyDescent="0.25">
      <c r="A355" s="14">
        <v>10434</v>
      </c>
      <c r="B355" s="14" t="s">
        <v>78</v>
      </c>
    </row>
    <row r="356" spans="1:2" x14ac:dyDescent="0.25">
      <c r="A356" s="14">
        <v>10435</v>
      </c>
      <c r="B356" s="14" t="s">
        <v>78</v>
      </c>
    </row>
    <row r="357" spans="1:2" x14ac:dyDescent="0.25">
      <c r="A357" s="14">
        <v>10436</v>
      </c>
      <c r="B357" s="14" t="s">
        <v>78</v>
      </c>
    </row>
    <row r="358" spans="1:2" x14ac:dyDescent="0.25">
      <c r="A358" s="14">
        <v>10437</v>
      </c>
      <c r="B358" s="14" t="s">
        <v>78</v>
      </c>
    </row>
    <row r="359" spans="1:2" x14ac:dyDescent="0.25">
      <c r="A359" s="14">
        <v>10438</v>
      </c>
      <c r="B359" s="14" t="s">
        <v>78</v>
      </c>
    </row>
    <row r="360" spans="1:2" x14ac:dyDescent="0.25">
      <c r="A360" s="14">
        <v>10440</v>
      </c>
      <c r="B360" s="14" t="s">
        <v>78</v>
      </c>
    </row>
    <row r="361" spans="1:2" x14ac:dyDescent="0.25">
      <c r="A361" s="14">
        <v>10441</v>
      </c>
      <c r="B361" s="14" t="s">
        <v>78</v>
      </c>
    </row>
    <row r="362" spans="1:2" x14ac:dyDescent="0.25">
      <c r="A362" s="14">
        <v>10442</v>
      </c>
      <c r="B362" s="14" t="s">
        <v>78</v>
      </c>
    </row>
    <row r="363" spans="1:2" x14ac:dyDescent="0.25">
      <c r="A363" s="14">
        <v>10443</v>
      </c>
      <c r="B363" s="14" t="s">
        <v>78</v>
      </c>
    </row>
    <row r="364" spans="1:2" x14ac:dyDescent="0.25">
      <c r="A364" s="14">
        <v>10444</v>
      </c>
      <c r="B364" s="14" t="s">
        <v>78</v>
      </c>
    </row>
    <row r="365" spans="1:2" x14ac:dyDescent="0.25">
      <c r="A365" s="14">
        <v>10445</v>
      </c>
      <c r="B365" s="14" t="s">
        <v>78</v>
      </c>
    </row>
    <row r="366" spans="1:2" x14ac:dyDescent="0.25">
      <c r="A366" s="14">
        <v>10447</v>
      </c>
      <c r="B366" s="14" t="s">
        <v>78</v>
      </c>
    </row>
    <row r="367" spans="1:2" x14ac:dyDescent="0.25">
      <c r="A367" s="14">
        <v>10448</v>
      </c>
      <c r="B367" s="14" t="s">
        <v>78</v>
      </c>
    </row>
    <row r="368" spans="1:2" x14ac:dyDescent="0.25">
      <c r="A368" s="14">
        <v>10449</v>
      </c>
      <c r="B368" s="14" t="s">
        <v>78</v>
      </c>
    </row>
    <row r="369" spans="1:2" x14ac:dyDescent="0.25">
      <c r="A369" s="14">
        <v>10450</v>
      </c>
      <c r="B369" s="14" t="s">
        <v>78</v>
      </c>
    </row>
    <row r="370" spans="1:2" x14ac:dyDescent="0.25">
      <c r="A370" s="14">
        <v>10451</v>
      </c>
      <c r="B370" s="14" t="s">
        <v>78</v>
      </c>
    </row>
    <row r="371" spans="1:2" x14ac:dyDescent="0.25">
      <c r="A371" s="14">
        <v>10452</v>
      </c>
      <c r="B371" s="14" t="s">
        <v>78</v>
      </c>
    </row>
    <row r="372" spans="1:2" x14ac:dyDescent="0.25">
      <c r="A372" s="14">
        <v>10453</v>
      </c>
      <c r="B372" s="14" t="s">
        <v>78</v>
      </c>
    </row>
    <row r="373" spans="1:2" x14ac:dyDescent="0.25">
      <c r="A373" s="14">
        <v>10454</v>
      </c>
      <c r="B373" s="14" t="s">
        <v>78</v>
      </c>
    </row>
    <row r="374" spans="1:2" x14ac:dyDescent="0.25">
      <c r="A374" s="14">
        <v>10455</v>
      </c>
      <c r="B374" s="14" t="s">
        <v>78</v>
      </c>
    </row>
    <row r="375" spans="1:2" x14ac:dyDescent="0.25">
      <c r="A375" s="14">
        <v>10456</v>
      </c>
      <c r="B375" s="14" t="s">
        <v>78</v>
      </c>
    </row>
    <row r="376" spans="1:2" x14ac:dyDescent="0.25">
      <c r="A376" s="14">
        <v>10457</v>
      </c>
      <c r="B376" s="14" t="s">
        <v>78</v>
      </c>
    </row>
    <row r="377" spans="1:2" x14ac:dyDescent="0.25">
      <c r="A377" s="14">
        <v>10459</v>
      </c>
      <c r="B377" s="14" t="s">
        <v>78</v>
      </c>
    </row>
    <row r="378" spans="1:2" x14ac:dyDescent="0.25">
      <c r="A378" s="14">
        <v>10460</v>
      </c>
      <c r="B378" s="14" t="s">
        <v>78</v>
      </c>
    </row>
    <row r="379" spans="1:2" x14ac:dyDescent="0.25">
      <c r="A379" s="14">
        <v>10461</v>
      </c>
      <c r="B379" s="14" t="s">
        <v>78</v>
      </c>
    </row>
    <row r="380" spans="1:2" x14ac:dyDescent="0.25">
      <c r="A380" s="14">
        <v>10462</v>
      </c>
      <c r="B380" s="14" t="s">
        <v>78</v>
      </c>
    </row>
    <row r="381" spans="1:2" x14ac:dyDescent="0.25">
      <c r="A381" s="14">
        <v>10464</v>
      </c>
      <c r="B381" s="14" t="s">
        <v>78</v>
      </c>
    </row>
    <row r="382" spans="1:2" x14ac:dyDescent="0.25">
      <c r="A382" s="14">
        <v>10465</v>
      </c>
      <c r="B382" s="14" t="s">
        <v>78</v>
      </c>
    </row>
    <row r="383" spans="1:2" x14ac:dyDescent="0.25">
      <c r="A383" s="14">
        <v>10466</v>
      </c>
      <c r="B383" s="14" t="s">
        <v>78</v>
      </c>
    </row>
    <row r="384" spans="1:2" x14ac:dyDescent="0.25">
      <c r="A384" s="14">
        <v>10467</v>
      </c>
      <c r="B384" s="14" t="s">
        <v>78</v>
      </c>
    </row>
    <row r="385" spans="1:2" x14ac:dyDescent="0.25">
      <c r="A385" s="14">
        <v>10468</v>
      </c>
      <c r="B385" s="14" t="s">
        <v>78</v>
      </c>
    </row>
    <row r="386" spans="1:2" x14ac:dyDescent="0.25">
      <c r="A386" s="14">
        <v>10469</v>
      </c>
      <c r="B386" s="14" t="s">
        <v>78</v>
      </c>
    </row>
    <row r="387" spans="1:2" x14ac:dyDescent="0.25">
      <c r="A387" s="14">
        <v>10470</v>
      </c>
      <c r="B387" s="14" t="s">
        <v>78</v>
      </c>
    </row>
    <row r="388" spans="1:2" x14ac:dyDescent="0.25">
      <c r="A388" s="14">
        <v>10471</v>
      </c>
      <c r="B388" s="14" t="s">
        <v>78</v>
      </c>
    </row>
    <row r="389" spans="1:2" x14ac:dyDescent="0.25">
      <c r="A389" s="14">
        <v>10472</v>
      </c>
      <c r="B389" s="14" t="s">
        <v>78</v>
      </c>
    </row>
    <row r="390" spans="1:2" x14ac:dyDescent="0.25">
      <c r="A390" s="14">
        <v>10473</v>
      </c>
      <c r="B390" s="14" t="s">
        <v>78</v>
      </c>
    </row>
    <row r="391" spans="1:2" x14ac:dyDescent="0.25">
      <c r="A391" s="14">
        <v>10476</v>
      </c>
      <c r="B391" s="14" t="s">
        <v>78</v>
      </c>
    </row>
    <row r="392" spans="1:2" x14ac:dyDescent="0.25">
      <c r="A392" s="14">
        <v>10478</v>
      </c>
      <c r="B392" s="14" t="s">
        <v>78</v>
      </c>
    </row>
    <row r="393" spans="1:2" x14ac:dyDescent="0.25">
      <c r="A393" s="14">
        <v>10479</v>
      </c>
      <c r="B393" s="14" t="s">
        <v>78</v>
      </c>
    </row>
    <row r="394" spans="1:2" x14ac:dyDescent="0.25">
      <c r="A394" s="14">
        <v>10481</v>
      </c>
      <c r="B394" s="14" t="s">
        <v>78</v>
      </c>
    </row>
    <row r="395" spans="1:2" x14ac:dyDescent="0.25">
      <c r="A395" s="14">
        <v>10482</v>
      </c>
      <c r="B395" s="14" t="s">
        <v>78</v>
      </c>
    </row>
    <row r="396" spans="1:2" x14ac:dyDescent="0.25">
      <c r="A396" s="14">
        <v>10484</v>
      </c>
      <c r="B396" s="14" t="s">
        <v>78</v>
      </c>
    </row>
    <row r="397" spans="1:2" x14ac:dyDescent="0.25">
      <c r="A397" s="14">
        <v>10485</v>
      </c>
      <c r="B397" s="14" t="s">
        <v>78</v>
      </c>
    </row>
    <row r="398" spans="1:2" x14ac:dyDescent="0.25">
      <c r="A398" s="14">
        <v>10486</v>
      </c>
      <c r="B398" s="14" t="s">
        <v>78</v>
      </c>
    </row>
    <row r="399" spans="1:2" x14ac:dyDescent="0.25">
      <c r="A399" s="14">
        <v>10487</v>
      </c>
      <c r="B399" s="14" t="s">
        <v>78</v>
      </c>
    </row>
    <row r="400" spans="1:2" x14ac:dyDescent="0.25">
      <c r="A400" s="14">
        <v>10488</v>
      </c>
      <c r="B400" s="14" t="s">
        <v>78</v>
      </c>
    </row>
    <row r="401" spans="1:2" x14ac:dyDescent="0.25">
      <c r="A401" s="14">
        <v>10491</v>
      </c>
      <c r="B401" s="14" t="s">
        <v>78</v>
      </c>
    </row>
    <row r="402" spans="1:2" x14ac:dyDescent="0.25">
      <c r="A402" s="14">
        <v>10492</v>
      </c>
      <c r="B402" s="14" t="s">
        <v>78</v>
      </c>
    </row>
    <row r="403" spans="1:2" x14ac:dyDescent="0.25">
      <c r="A403" s="14">
        <v>10493</v>
      </c>
      <c r="B403" s="14" t="s">
        <v>78</v>
      </c>
    </row>
    <row r="404" spans="1:2" x14ac:dyDescent="0.25">
      <c r="A404" s="14">
        <v>10494</v>
      </c>
      <c r="B404" s="14" t="s">
        <v>78</v>
      </c>
    </row>
    <row r="405" spans="1:2" x14ac:dyDescent="0.25">
      <c r="A405" s="14">
        <v>10495</v>
      </c>
      <c r="B405" s="14" t="s">
        <v>78</v>
      </c>
    </row>
    <row r="406" spans="1:2" x14ac:dyDescent="0.25">
      <c r="A406" s="14">
        <v>10498</v>
      </c>
      <c r="B406" s="14" t="s">
        <v>78</v>
      </c>
    </row>
    <row r="407" spans="1:2" x14ac:dyDescent="0.25">
      <c r="A407" s="14">
        <v>10499</v>
      </c>
      <c r="B407" s="14" t="s">
        <v>78</v>
      </c>
    </row>
    <row r="408" spans="1:2" x14ac:dyDescent="0.25">
      <c r="A408" s="14">
        <v>10502</v>
      </c>
      <c r="B408" s="14" t="s">
        <v>78</v>
      </c>
    </row>
    <row r="409" spans="1:2" x14ac:dyDescent="0.25">
      <c r="A409" s="14">
        <v>10504</v>
      </c>
      <c r="B409" s="14" t="s">
        <v>78</v>
      </c>
    </row>
    <row r="410" spans="1:2" x14ac:dyDescent="0.25">
      <c r="A410" s="14">
        <v>10505</v>
      </c>
      <c r="B410" s="14" t="s">
        <v>78</v>
      </c>
    </row>
    <row r="411" spans="1:2" x14ac:dyDescent="0.25">
      <c r="A411" s="14">
        <v>10508</v>
      </c>
      <c r="B411" s="14" t="s">
        <v>78</v>
      </c>
    </row>
    <row r="412" spans="1:2" x14ac:dyDescent="0.25">
      <c r="A412" s="14">
        <v>10509</v>
      </c>
      <c r="B412" s="14" t="s">
        <v>78</v>
      </c>
    </row>
    <row r="413" spans="1:2" x14ac:dyDescent="0.25">
      <c r="A413" s="14">
        <v>10511</v>
      </c>
      <c r="B413" s="14" t="s">
        <v>78</v>
      </c>
    </row>
    <row r="414" spans="1:2" x14ac:dyDescent="0.25">
      <c r="A414" s="14">
        <v>10514</v>
      </c>
      <c r="B414" s="14" t="s">
        <v>78</v>
      </c>
    </row>
    <row r="415" spans="1:2" x14ac:dyDescent="0.25">
      <c r="A415" s="14">
        <v>10515</v>
      </c>
      <c r="B415" s="14" t="s">
        <v>78</v>
      </c>
    </row>
    <row r="416" spans="1:2" x14ac:dyDescent="0.25">
      <c r="A416" s="14">
        <v>10516</v>
      </c>
      <c r="B416" s="14" t="s">
        <v>78</v>
      </c>
    </row>
    <row r="417" spans="1:2" x14ac:dyDescent="0.25">
      <c r="A417" s="14">
        <v>10517</v>
      </c>
      <c r="B417" s="14" t="s">
        <v>78</v>
      </c>
    </row>
    <row r="418" spans="1:2" x14ac:dyDescent="0.25">
      <c r="A418" s="14">
        <v>10518</v>
      </c>
      <c r="B418" s="14" t="s">
        <v>78</v>
      </c>
    </row>
    <row r="419" spans="1:2" x14ac:dyDescent="0.25">
      <c r="A419" s="14">
        <v>10521</v>
      </c>
      <c r="B419" s="14" t="s">
        <v>78</v>
      </c>
    </row>
    <row r="420" spans="1:2" x14ac:dyDescent="0.25">
      <c r="A420" s="14">
        <v>10522</v>
      </c>
      <c r="B420" s="14" t="s">
        <v>78</v>
      </c>
    </row>
    <row r="421" spans="1:2" x14ac:dyDescent="0.25">
      <c r="A421" s="14">
        <v>10524</v>
      </c>
      <c r="B421" s="14" t="s">
        <v>78</v>
      </c>
    </row>
    <row r="422" spans="1:2" x14ac:dyDescent="0.25">
      <c r="A422" s="14">
        <v>10525</v>
      </c>
      <c r="B422" s="14" t="s">
        <v>78</v>
      </c>
    </row>
    <row r="423" spans="1:2" x14ac:dyDescent="0.25">
      <c r="A423" s="14">
        <v>10526</v>
      </c>
      <c r="B423" s="14" t="s">
        <v>78</v>
      </c>
    </row>
    <row r="424" spans="1:2" x14ac:dyDescent="0.25">
      <c r="A424" s="14">
        <v>10530</v>
      </c>
      <c r="B424" s="14" t="s">
        <v>78</v>
      </c>
    </row>
    <row r="425" spans="1:2" x14ac:dyDescent="0.25">
      <c r="A425" s="14">
        <v>10533</v>
      </c>
      <c r="B425" s="14" t="s">
        <v>78</v>
      </c>
    </row>
    <row r="426" spans="1:2" x14ac:dyDescent="0.25">
      <c r="A426" s="14">
        <v>10534</v>
      </c>
      <c r="B426" s="14" t="s">
        <v>78</v>
      </c>
    </row>
    <row r="427" spans="1:2" x14ac:dyDescent="0.25">
      <c r="A427" s="14">
        <v>10535</v>
      </c>
      <c r="B427" s="14" t="s">
        <v>78</v>
      </c>
    </row>
    <row r="428" spans="1:2" x14ac:dyDescent="0.25">
      <c r="A428" s="14">
        <v>10536</v>
      </c>
      <c r="B428" s="14" t="s">
        <v>78</v>
      </c>
    </row>
    <row r="429" spans="1:2" x14ac:dyDescent="0.25">
      <c r="A429" s="14">
        <v>10537</v>
      </c>
      <c r="B429" s="14" t="s">
        <v>78</v>
      </c>
    </row>
    <row r="430" spans="1:2" x14ac:dyDescent="0.25">
      <c r="A430" s="14">
        <v>10540</v>
      </c>
      <c r="B430" s="14" t="s">
        <v>78</v>
      </c>
    </row>
    <row r="431" spans="1:2" x14ac:dyDescent="0.25">
      <c r="A431" s="14">
        <v>10541</v>
      </c>
      <c r="B431" s="14" t="s">
        <v>78</v>
      </c>
    </row>
    <row r="432" spans="1:2" x14ac:dyDescent="0.25">
      <c r="A432" s="14">
        <v>10542</v>
      </c>
      <c r="B432" s="14" t="s">
        <v>78</v>
      </c>
    </row>
    <row r="433" spans="1:2" x14ac:dyDescent="0.25">
      <c r="A433" s="14">
        <v>10543</v>
      </c>
      <c r="B433" s="14" t="s">
        <v>78</v>
      </c>
    </row>
    <row r="434" spans="1:2" x14ac:dyDescent="0.25">
      <c r="A434" s="14">
        <v>10544</v>
      </c>
      <c r="B434" s="14" t="s">
        <v>78</v>
      </c>
    </row>
    <row r="435" spans="1:2" x14ac:dyDescent="0.25">
      <c r="A435" s="14">
        <v>10545</v>
      </c>
      <c r="B435" s="14" t="s">
        <v>78</v>
      </c>
    </row>
    <row r="436" spans="1:2" x14ac:dyDescent="0.25">
      <c r="A436" s="14">
        <v>10546</v>
      </c>
      <c r="B436" s="14" t="s">
        <v>78</v>
      </c>
    </row>
    <row r="437" spans="1:2" x14ac:dyDescent="0.25">
      <c r="A437" s="14">
        <v>10547</v>
      </c>
      <c r="B437" s="14" t="s">
        <v>78</v>
      </c>
    </row>
    <row r="438" spans="1:2" x14ac:dyDescent="0.25">
      <c r="A438" s="14">
        <v>10548</v>
      </c>
      <c r="B438" s="14" t="s">
        <v>78</v>
      </c>
    </row>
    <row r="439" spans="1:2" x14ac:dyDescent="0.25">
      <c r="A439" s="14">
        <v>10551</v>
      </c>
      <c r="B439" s="14" t="s">
        <v>78</v>
      </c>
    </row>
    <row r="440" spans="1:2" x14ac:dyDescent="0.25">
      <c r="A440" s="14">
        <v>10552</v>
      </c>
      <c r="B440" s="14" t="s">
        <v>78</v>
      </c>
    </row>
    <row r="441" spans="1:2" x14ac:dyDescent="0.25">
      <c r="A441" s="14">
        <v>10553</v>
      </c>
      <c r="B441" s="14" t="s">
        <v>78</v>
      </c>
    </row>
    <row r="442" spans="1:2" x14ac:dyDescent="0.25">
      <c r="A442" s="14">
        <v>10554</v>
      </c>
      <c r="B442" s="14" t="s">
        <v>78</v>
      </c>
    </row>
    <row r="443" spans="1:2" x14ac:dyDescent="0.25">
      <c r="A443" s="14">
        <v>10556</v>
      </c>
      <c r="B443" s="14" t="s">
        <v>78</v>
      </c>
    </row>
    <row r="444" spans="1:2" x14ac:dyDescent="0.25">
      <c r="A444" s="14">
        <v>10558</v>
      </c>
      <c r="B444" s="14" t="s">
        <v>78</v>
      </c>
    </row>
    <row r="445" spans="1:2" x14ac:dyDescent="0.25">
      <c r="A445" s="14">
        <v>10560</v>
      </c>
      <c r="B445" s="14" t="s">
        <v>78</v>
      </c>
    </row>
    <row r="446" spans="1:2" x14ac:dyDescent="0.25">
      <c r="A446" s="14">
        <v>10561</v>
      </c>
      <c r="B446" s="14" t="s">
        <v>78</v>
      </c>
    </row>
    <row r="447" spans="1:2" x14ac:dyDescent="0.25">
      <c r="A447" s="14">
        <v>10562</v>
      </c>
      <c r="B447" s="14" t="s">
        <v>78</v>
      </c>
    </row>
    <row r="448" spans="1:2" x14ac:dyDescent="0.25">
      <c r="A448" s="14">
        <v>10563</v>
      </c>
      <c r="B448" s="14" t="s">
        <v>78</v>
      </c>
    </row>
    <row r="449" spans="1:2" x14ac:dyDescent="0.25">
      <c r="A449" s="14">
        <v>10564</v>
      </c>
      <c r="B449" s="14" t="s">
        <v>78</v>
      </c>
    </row>
    <row r="450" spans="1:2" x14ac:dyDescent="0.25">
      <c r="A450" s="14">
        <v>10565</v>
      </c>
      <c r="B450" s="14" t="s">
        <v>78</v>
      </c>
    </row>
    <row r="451" spans="1:2" x14ac:dyDescent="0.25">
      <c r="A451" s="14">
        <v>10567</v>
      </c>
      <c r="B451" s="14" t="s">
        <v>78</v>
      </c>
    </row>
    <row r="452" spans="1:2" x14ac:dyDescent="0.25">
      <c r="A452" s="14">
        <v>10568</v>
      </c>
      <c r="B452" s="14" t="s">
        <v>78</v>
      </c>
    </row>
    <row r="453" spans="1:2" x14ac:dyDescent="0.25">
      <c r="A453" s="14">
        <v>10570</v>
      </c>
      <c r="B453" s="14" t="s">
        <v>78</v>
      </c>
    </row>
    <row r="454" spans="1:2" x14ac:dyDescent="0.25">
      <c r="A454" s="14">
        <v>10571</v>
      </c>
      <c r="B454" s="14" t="s">
        <v>78</v>
      </c>
    </row>
    <row r="455" spans="1:2" x14ac:dyDescent="0.25">
      <c r="A455" s="14">
        <v>10572</v>
      </c>
      <c r="B455" s="14" t="s">
        <v>78</v>
      </c>
    </row>
    <row r="456" spans="1:2" x14ac:dyDescent="0.25">
      <c r="A456" s="14">
        <v>10574</v>
      </c>
      <c r="B456" s="14" t="s">
        <v>78</v>
      </c>
    </row>
    <row r="457" spans="1:2" x14ac:dyDescent="0.25">
      <c r="A457" s="14">
        <v>10576</v>
      </c>
      <c r="B457" s="14" t="s">
        <v>78</v>
      </c>
    </row>
    <row r="458" spans="1:2" x14ac:dyDescent="0.25">
      <c r="A458" s="14">
        <v>10578</v>
      </c>
      <c r="B458" s="14" t="s">
        <v>78</v>
      </c>
    </row>
    <row r="459" spans="1:2" x14ac:dyDescent="0.25">
      <c r="A459" s="14">
        <v>10579</v>
      </c>
      <c r="B459" s="14" t="s">
        <v>78</v>
      </c>
    </row>
    <row r="460" spans="1:2" x14ac:dyDescent="0.25">
      <c r="A460" s="14">
        <v>10580</v>
      </c>
      <c r="B460" s="14" t="s">
        <v>78</v>
      </c>
    </row>
    <row r="461" spans="1:2" x14ac:dyDescent="0.25">
      <c r="A461" s="14">
        <v>10581</v>
      </c>
      <c r="B461" s="14" t="s">
        <v>78</v>
      </c>
    </row>
    <row r="462" spans="1:2" x14ac:dyDescent="0.25">
      <c r="A462" s="14">
        <v>10582</v>
      </c>
      <c r="B462" s="14" t="s">
        <v>78</v>
      </c>
    </row>
    <row r="463" spans="1:2" x14ac:dyDescent="0.25">
      <c r="A463" s="14">
        <v>10583</v>
      </c>
      <c r="B463" s="14" t="s">
        <v>78</v>
      </c>
    </row>
    <row r="464" spans="1:2" x14ac:dyDescent="0.25">
      <c r="A464" s="14">
        <v>10584</v>
      </c>
      <c r="B464" s="14" t="s">
        <v>78</v>
      </c>
    </row>
    <row r="465" spans="1:2" x14ac:dyDescent="0.25">
      <c r="A465" s="14">
        <v>10587</v>
      </c>
      <c r="B465" s="14" t="s">
        <v>78</v>
      </c>
    </row>
    <row r="466" spans="1:2" x14ac:dyDescent="0.25">
      <c r="A466" s="14">
        <v>10588</v>
      </c>
      <c r="B466" s="14" t="s">
        <v>78</v>
      </c>
    </row>
    <row r="467" spans="1:2" x14ac:dyDescent="0.25">
      <c r="A467" s="14">
        <v>10589</v>
      </c>
      <c r="B467" s="14" t="s">
        <v>78</v>
      </c>
    </row>
    <row r="468" spans="1:2" x14ac:dyDescent="0.25">
      <c r="A468" s="14">
        <v>10590</v>
      </c>
      <c r="B468" s="14" t="s">
        <v>78</v>
      </c>
    </row>
    <row r="469" spans="1:2" x14ac:dyDescent="0.25">
      <c r="A469" s="14">
        <v>10591</v>
      </c>
      <c r="B469" s="14" t="s">
        <v>78</v>
      </c>
    </row>
    <row r="470" spans="1:2" x14ac:dyDescent="0.25">
      <c r="A470" s="14">
        <v>10592</v>
      </c>
      <c r="B470" s="14" t="s">
        <v>78</v>
      </c>
    </row>
    <row r="471" spans="1:2" x14ac:dyDescent="0.25">
      <c r="A471" s="14">
        <v>10594</v>
      </c>
      <c r="B471" s="14" t="s">
        <v>78</v>
      </c>
    </row>
    <row r="472" spans="1:2" x14ac:dyDescent="0.25">
      <c r="A472" s="14">
        <v>10595</v>
      </c>
      <c r="B472" s="14" t="s">
        <v>78</v>
      </c>
    </row>
    <row r="473" spans="1:2" x14ac:dyDescent="0.25">
      <c r="A473" s="14">
        <v>10596</v>
      </c>
      <c r="B473" s="14" t="s">
        <v>78</v>
      </c>
    </row>
    <row r="474" spans="1:2" x14ac:dyDescent="0.25">
      <c r="A474" s="14">
        <v>10598</v>
      </c>
      <c r="B474" s="14" t="s">
        <v>78</v>
      </c>
    </row>
    <row r="475" spans="1:2" x14ac:dyDescent="0.25">
      <c r="A475" s="14">
        <v>10600</v>
      </c>
      <c r="B475" s="14" t="s">
        <v>78</v>
      </c>
    </row>
    <row r="476" spans="1:2" x14ac:dyDescent="0.25">
      <c r="A476" s="14">
        <v>10602</v>
      </c>
      <c r="B476" s="14" t="s">
        <v>78</v>
      </c>
    </row>
    <row r="477" spans="1:2" x14ac:dyDescent="0.25">
      <c r="A477" s="14">
        <v>10603</v>
      </c>
      <c r="B477" s="14" t="s">
        <v>78</v>
      </c>
    </row>
    <row r="478" spans="1:2" x14ac:dyDescent="0.25">
      <c r="A478" s="14">
        <v>10604</v>
      </c>
      <c r="B478" s="14" t="s">
        <v>78</v>
      </c>
    </row>
    <row r="479" spans="1:2" x14ac:dyDescent="0.25">
      <c r="A479" s="14">
        <v>10605</v>
      </c>
      <c r="B479" s="14" t="s">
        <v>78</v>
      </c>
    </row>
    <row r="480" spans="1:2" x14ac:dyDescent="0.25">
      <c r="A480" s="14">
        <v>10606</v>
      </c>
      <c r="B480" s="14" t="s">
        <v>78</v>
      </c>
    </row>
    <row r="481" spans="1:2" x14ac:dyDescent="0.25">
      <c r="A481" s="14">
        <v>10608</v>
      </c>
      <c r="B481" s="14" t="s">
        <v>78</v>
      </c>
    </row>
    <row r="482" spans="1:2" x14ac:dyDescent="0.25">
      <c r="A482" s="14">
        <v>10610</v>
      </c>
      <c r="B482" s="14" t="s">
        <v>78</v>
      </c>
    </row>
    <row r="483" spans="1:2" x14ac:dyDescent="0.25">
      <c r="A483" s="14">
        <v>10612</v>
      </c>
      <c r="B483" s="14" t="s">
        <v>78</v>
      </c>
    </row>
    <row r="484" spans="1:2" x14ac:dyDescent="0.25">
      <c r="A484" s="14">
        <v>10613</v>
      </c>
      <c r="B484" s="14" t="s">
        <v>78</v>
      </c>
    </row>
    <row r="485" spans="1:2" x14ac:dyDescent="0.25">
      <c r="A485" s="14">
        <v>10614</v>
      </c>
      <c r="B485" s="14" t="s">
        <v>78</v>
      </c>
    </row>
    <row r="486" spans="1:2" x14ac:dyDescent="0.25">
      <c r="A486" s="14">
        <v>10615</v>
      </c>
      <c r="B486" s="14" t="s">
        <v>78</v>
      </c>
    </row>
    <row r="487" spans="1:2" x14ac:dyDescent="0.25">
      <c r="A487" s="14">
        <v>10616</v>
      </c>
      <c r="B487" s="14" t="s">
        <v>78</v>
      </c>
    </row>
    <row r="488" spans="1:2" x14ac:dyDescent="0.25">
      <c r="A488" s="14">
        <v>10617</v>
      </c>
      <c r="B488" s="14" t="s">
        <v>78</v>
      </c>
    </row>
    <row r="489" spans="1:2" x14ac:dyDescent="0.25">
      <c r="A489" s="14">
        <v>10618</v>
      </c>
      <c r="B489" s="14" t="s">
        <v>78</v>
      </c>
    </row>
    <row r="490" spans="1:2" x14ac:dyDescent="0.25">
      <c r="A490" s="14">
        <v>10619</v>
      </c>
      <c r="B490" s="14" t="s">
        <v>78</v>
      </c>
    </row>
    <row r="491" spans="1:2" x14ac:dyDescent="0.25">
      <c r="A491" s="14">
        <v>10620</v>
      </c>
      <c r="B491" s="14" t="s">
        <v>78</v>
      </c>
    </row>
    <row r="492" spans="1:2" x14ac:dyDescent="0.25">
      <c r="A492" s="14">
        <v>10621</v>
      </c>
      <c r="B492" s="14" t="s">
        <v>78</v>
      </c>
    </row>
    <row r="493" spans="1:2" x14ac:dyDescent="0.25">
      <c r="A493" s="14">
        <v>10622</v>
      </c>
      <c r="B493" s="14" t="s">
        <v>78</v>
      </c>
    </row>
    <row r="494" spans="1:2" x14ac:dyDescent="0.25">
      <c r="A494" s="14">
        <v>10623</v>
      </c>
      <c r="B494" s="14" t="s">
        <v>78</v>
      </c>
    </row>
    <row r="495" spans="1:2" x14ac:dyDescent="0.25">
      <c r="A495" s="14">
        <v>10624</v>
      </c>
      <c r="B495" s="14" t="s">
        <v>78</v>
      </c>
    </row>
    <row r="496" spans="1:2" x14ac:dyDescent="0.25">
      <c r="A496" s="14">
        <v>10625</v>
      </c>
      <c r="B496" s="14" t="s">
        <v>78</v>
      </c>
    </row>
    <row r="497" spans="1:2" x14ac:dyDescent="0.25">
      <c r="A497" s="14">
        <v>10626</v>
      </c>
      <c r="B497" s="14" t="s">
        <v>78</v>
      </c>
    </row>
    <row r="498" spans="1:2" x14ac:dyDescent="0.25">
      <c r="A498" s="14">
        <v>10627</v>
      </c>
      <c r="B498" s="14" t="s">
        <v>78</v>
      </c>
    </row>
    <row r="499" spans="1:2" x14ac:dyDescent="0.25">
      <c r="A499" s="14">
        <v>10628</v>
      </c>
      <c r="B499" s="14" t="s">
        <v>78</v>
      </c>
    </row>
    <row r="500" spans="1:2" x14ac:dyDescent="0.25">
      <c r="A500" s="14">
        <v>10629</v>
      </c>
      <c r="B500" s="14" t="s">
        <v>78</v>
      </c>
    </row>
    <row r="501" spans="1:2" x14ac:dyDescent="0.25">
      <c r="A501" s="14">
        <v>10630</v>
      </c>
      <c r="B501" s="14" t="s">
        <v>78</v>
      </c>
    </row>
    <row r="502" spans="1:2" x14ac:dyDescent="0.25">
      <c r="A502" s="14">
        <v>10631</v>
      </c>
      <c r="B502" s="14" t="s">
        <v>78</v>
      </c>
    </row>
    <row r="503" spans="1:2" x14ac:dyDescent="0.25">
      <c r="A503" s="14">
        <v>10632</v>
      </c>
      <c r="B503" s="14" t="s">
        <v>78</v>
      </c>
    </row>
    <row r="504" spans="1:2" x14ac:dyDescent="0.25">
      <c r="A504" s="14">
        <v>10634</v>
      </c>
      <c r="B504" s="14" t="s">
        <v>78</v>
      </c>
    </row>
    <row r="505" spans="1:2" x14ac:dyDescent="0.25">
      <c r="A505" s="14">
        <v>10635</v>
      </c>
      <c r="B505" s="14" t="s">
        <v>78</v>
      </c>
    </row>
    <row r="506" spans="1:2" x14ac:dyDescent="0.25">
      <c r="A506" s="14">
        <v>10636</v>
      </c>
      <c r="B506" s="14" t="s">
        <v>78</v>
      </c>
    </row>
    <row r="507" spans="1:2" x14ac:dyDescent="0.25">
      <c r="A507" s="14">
        <v>10638</v>
      </c>
      <c r="B507" s="14" t="s">
        <v>78</v>
      </c>
    </row>
    <row r="508" spans="1:2" x14ac:dyDescent="0.25">
      <c r="A508" s="14">
        <v>10640</v>
      </c>
      <c r="B508" s="14" t="s">
        <v>78</v>
      </c>
    </row>
    <row r="509" spans="1:2" x14ac:dyDescent="0.25">
      <c r="A509" s="14">
        <v>10641</v>
      </c>
      <c r="B509" s="14" t="s">
        <v>78</v>
      </c>
    </row>
    <row r="510" spans="1:2" x14ac:dyDescent="0.25">
      <c r="A510" s="14">
        <v>10644</v>
      </c>
      <c r="B510" s="14" t="s">
        <v>78</v>
      </c>
    </row>
    <row r="511" spans="1:2" x14ac:dyDescent="0.25">
      <c r="A511" s="14">
        <v>10645</v>
      </c>
      <c r="B511" s="14" t="s">
        <v>78</v>
      </c>
    </row>
    <row r="512" spans="1:2" x14ac:dyDescent="0.25">
      <c r="A512" s="14">
        <v>10647</v>
      </c>
      <c r="B512" s="14" t="s">
        <v>78</v>
      </c>
    </row>
    <row r="513" spans="1:2" x14ac:dyDescent="0.25">
      <c r="A513" s="14">
        <v>10651</v>
      </c>
      <c r="B513" s="14" t="s">
        <v>78</v>
      </c>
    </row>
    <row r="514" spans="1:2" x14ac:dyDescent="0.25">
      <c r="A514" s="14">
        <v>10652</v>
      </c>
      <c r="B514" s="14" t="s">
        <v>78</v>
      </c>
    </row>
    <row r="515" spans="1:2" x14ac:dyDescent="0.25">
      <c r="A515" s="14">
        <v>10653</v>
      </c>
      <c r="B515" s="14" t="s">
        <v>78</v>
      </c>
    </row>
    <row r="516" spans="1:2" x14ac:dyDescent="0.25">
      <c r="A516" s="14">
        <v>10655</v>
      </c>
      <c r="B516" s="14" t="s">
        <v>78</v>
      </c>
    </row>
    <row r="517" spans="1:2" x14ac:dyDescent="0.25">
      <c r="A517" s="14">
        <v>10657</v>
      </c>
      <c r="B517" s="14" t="s">
        <v>78</v>
      </c>
    </row>
    <row r="518" spans="1:2" x14ac:dyDescent="0.25">
      <c r="A518" s="14">
        <v>10658</v>
      </c>
      <c r="B518" s="14" t="s">
        <v>78</v>
      </c>
    </row>
    <row r="519" spans="1:2" x14ac:dyDescent="0.25">
      <c r="A519" s="14">
        <v>10660</v>
      </c>
      <c r="B519" s="14" t="s">
        <v>78</v>
      </c>
    </row>
    <row r="520" spans="1:2" x14ac:dyDescent="0.25">
      <c r="A520" s="14">
        <v>10662</v>
      </c>
      <c r="B520" s="14" t="s">
        <v>78</v>
      </c>
    </row>
    <row r="521" spans="1:2" x14ac:dyDescent="0.25">
      <c r="A521" s="14">
        <v>10663</v>
      </c>
      <c r="B521" s="14" t="s">
        <v>78</v>
      </c>
    </row>
    <row r="522" spans="1:2" x14ac:dyDescent="0.25">
      <c r="A522" s="14">
        <v>10664</v>
      </c>
      <c r="B522" s="14" t="s">
        <v>78</v>
      </c>
    </row>
    <row r="523" spans="1:2" x14ac:dyDescent="0.25">
      <c r="A523" s="14">
        <v>10665</v>
      </c>
      <c r="B523" s="14" t="s">
        <v>78</v>
      </c>
    </row>
    <row r="524" spans="1:2" x14ac:dyDescent="0.25">
      <c r="A524" s="14">
        <v>10668</v>
      </c>
      <c r="B524" s="14" t="s">
        <v>78</v>
      </c>
    </row>
    <row r="525" spans="1:2" x14ac:dyDescent="0.25">
      <c r="A525" s="14">
        <v>10669</v>
      </c>
      <c r="B525" s="14" t="s">
        <v>78</v>
      </c>
    </row>
    <row r="526" spans="1:2" x14ac:dyDescent="0.25">
      <c r="A526" s="14">
        <v>10670</v>
      </c>
      <c r="B526" s="14" t="s">
        <v>78</v>
      </c>
    </row>
    <row r="527" spans="1:2" x14ac:dyDescent="0.25">
      <c r="A527" s="14">
        <v>10671</v>
      </c>
      <c r="B527" s="14" t="s">
        <v>78</v>
      </c>
    </row>
    <row r="528" spans="1:2" x14ac:dyDescent="0.25">
      <c r="A528" s="14">
        <v>10673</v>
      </c>
      <c r="B528" s="14" t="s">
        <v>78</v>
      </c>
    </row>
    <row r="529" spans="1:2" x14ac:dyDescent="0.25">
      <c r="A529" s="14">
        <v>10674</v>
      </c>
      <c r="B529" s="14" t="s">
        <v>78</v>
      </c>
    </row>
    <row r="530" spans="1:2" x14ac:dyDescent="0.25">
      <c r="A530" s="14">
        <v>10676</v>
      </c>
      <c r="B530" s="14" t="s">
        <v>78</v>
      </c>
    </row>
    <row r="531" spans="1:2" x14ac:dyDescent="0.25">
      <c r="A531" s="14">
        <v>10677</v>
      </c>
      <c r="B531" s="14" t="s">
        <v>78</v>
      </c>
    </row>
    <row r="532" spans="1:2" x14ac:dyDescent="0.25">
      <c r="A532" s="14">
        <v>10679</v>
      </c>
      <c r="B532" s="14" t="s">
        <v>78</v>
      </c>
    </row>
    <row r="533" spans="1:2" x14ac:dyDescent="0.25">
      <c r="A533" s="14">
        <v>10680</v>
      </c>
      <c r="B533" s="14" t="s">
        <v>78</v>
      </c>
    </row>
    <row r="534" spans="1:2" x14ac:dyDescent="0.25">
      <c r="A534" s="14">
        <v>10681</v>
      </c>
      <c r="B534" s="14" t="s">
        <v>78</v>
      </c>
    </row>
    <row r="535" spans="1:2" x14ac:dyDescent="0.25">
      <c r="A535" s="14">
        <v>10682</v>
      </c>
      <c r="B535" s="14" t="s">
        <v>78</v>
      </c>
    </row>
    <row r="536" spans="1:2" x14ac:dyDescent="0.25">
      <c r="A536" s="14">
        <v>10683</v>
      </c>
      <c r="B536" s="14" t="s">
        <v>78</v>
      </c>
    </row>
    <row r="537" spans="1:2" x14ac:dyDescent="0.25">
      <c r="A537" s="14">
        <v>10684</v>
      </c>
      <c r="B537" s="14" t="s">
        <v>78</v>
      </c>
    </row>
    <row r="538" spans="1:2" x14ac:dyDescent="0.25">
      <c r="A538" s="14">
        <v>10685</v>
      </c>
      <c r="B538" s="14" t="s">
        <v>78</v>
      </c>
    </row>
    <row r="539" spans="1:2" x14ac:dyDescent="0.25">
      <c r="A539" s="14">
        <v>10686</v>
      </c>
      <c r="B539" s="14" t="s">
        <v>78</v>
      </c>
    </row>
    <row r="540" spans="1:2" x14ac:dyDescent="0.25">
      <c r="A540" s="14">
        <v>10688</v>
      </c>
      <c r="B540" s="14" t="s">
        <v>78</v>
      </c>
    </row>
    <row r="541" spans="1:2" x14ac:dyDescent="0.25">
      <c r="A541" s="14">
        <v>10689</v>
      </c>
      <c r="B541" s="14" t="s">
        <v>78</v>
      </c>
    </row>
    <row r="542" spans="1:2" x14ac:dyDescent="0.25">
      <c r="A542" s="14">
        <v>10690</v>
      </c>
      <c r="B542" s="14" t="s">
        <v>78</v>
      </c>
    </row>
    <row r="543" spans="1:2" x14ac:dyDescent="0.25">
      <c r="A543" s="14">
        <v>10691</v>
      </c>
      <c r="B543" s="14" t="s">
        <v>78</v>
      </c>
    </row>
    <row r="544" spans="1:2" x14ac:dyDescent="0.25">
      <c r="A544" s="14">
        <v>10692</v>
      </c>
      <c r="B544" s="14" t="s">
        <v>78</v>
      </c>
    </row>
    <row r="545" spans="1:2" x14ac:dyDescent="0.25">
      <c r="A545" s="14">
        <v>10693</v>
      </c>
      <c r="B545" s="14" t="s">
        <v>78</v>
      </c>
    </row>
    <row r="546" spans="1:2" x14ac:dyDescent="0.25">
      <c r="A546" s="14">
        <v>10694</v>
      </c>
      <c r="B546" s="14" t="s">
        <v>78</v>
      </c>
    </row>
    <row r="547" spans="1:2" x14ac:dyDescent="0.25">
      <c r="A547" s="14">
        <v>10696</v>
      </c>
      <c r="B547" s="14" t="s">
        <v>78</v>
      </c>
    </row>
    <row r="548" spans="1:2" x14ac:dyDescent="0.25">
      <c r="A548" s="14">
        <v>10697</v>
      </c>
      <c r="B548" s="14" t="s">
        <v>78</v>
      </c>
    </row>
    <row r="549" spans="1:2" x14ac:dyDescent="0.25">
      <c r="A549" s="14">
        <v>10698</v>
      </c>
      <c r="B549" s="14" t="s">
        <v>78</v>
      </c>
    </row>
    <row r="550" spans="1:2" x14ac:dyDescent="0.25">
      <c r="A550" s="14">
        <v>10699</v>
      </c>
      <c r="B550" s="14" t="s">
        <v>78</v>
      </c>
    </row>
    <row r="551" spans="1:2" x14ac:dyDescent="0.25">
      <c r="A551" s="14">
        <v>10700</v>
      </c>
      <c r="B551" s="14" t="s">
        <v>78</v>
      </c>
    </row>
    <row r="552" spans="1:2" x14ac:dyDescent="0.25">
      <c r="A552" s="14">
        <v>10702</v>
      </c>
      <c r="B552" s="14" t="s">
        <v>78</v>
      </c>
    </row>
    <row r="553" spans="1:2" x14ac:dyDescent="0.25">
      <c r="A553" s="14">
        <v>10706</v>
      </c>
      <c r="B553" s="14" t="s">
        <v>78</v>
      </c>
    </row>
    <row r="554" spans="1:2" x14ac:dyDescent="0.25">
      <c r="A554" s="14">
        <v>10707</v>
      </c>
      <c r="B554" s="14" t="s">
        <v>78</v>
      </c>
    </row>
    <row r="555" spans="1:2" x14ac:dyDescent="0.25">
      <c r="A555" s="14">
        <v>10709</v>
      </c>
      <c r="B555" s="14" t="s">
        <v>78</v>
      </c>
    </row>
    <row r="556" spans="1:2" x14ac:dyDescent="0.25">
      <c r="A556" s="14">
        <v>10710</v>
      </c>
      <c r="B556" s="14" t="s">
        <v>78</v>
      </c>
    </row>
    <row r="557" spans="1:2" x14ac:dyDescent="0.25">
      <c r="A557" s="14">
        <v>10712</v>
      </c>
      <c r="B557" s="14" t="s">
        <v>78</v>
      </c>
    </row>
    <row r="558" spans="1:2" x14ac:dyDescent="0.25">
      <c r="A558" s="14">
        <v>10713</v>
      </c>
      <c r="B558" s="14" t="s">
        <v>78</v>
      </c>
    </row>
    <row r="559" spans="1:2" x14ac:dyDescent="0.25">
      <c r="A559" s="14">
        <v>10715</v>
      </c>
      <c r="B559" s="14" t="s">
        <v>78</v>
      </c>
    </row>
    <row r="560" spans="1:2" x14ac:dyDescent="0.25">
      <c r="A560" s="14">
        <v>10716</v>
      </c>
      <c r="B560" s="14" t="s">
        <v>78</v>
      </c>
    </row>
    <row r="561" spans="1:2" x14ac:dyDescent="0.25">
      <c r="A561" s="14">
        <v>10717</v>
      </c>
      <c r="B561" s="14" t="s">
        <v>78</v>
      </c>
    </row>
    <row r="562" spans="1:2" x14ac:dyDescent="0.25">
      <c r="A562" s="14">
        <v>10718</v>
      </c>
      <c r="B562" s="14" t="s">
        <v>78</v>
      </c>
    </row>
    <row r="563" spans="1:2" x14ac:dyDescent="0.25">
      <c r="A563" s="14">
        <v>10719</v>
      </c>
      <c r="B563" s="14" t="s">
        <v>78</v>
      </c>
    </row>
    <row r="564" spans="1:2" x14ac:dyDescent="0.25">
      <c r="A564" s="14">
        <v>10720</v>
      </c>
      <c r="B564" s="14" t="s">
        <v>78</v>
      </c>
    </row>
    <row r="565" spans="1:2" x14ac:dyDescent="0.25">
      <c r="A565" s="14">
        <v>10722</v>
      </c>
      <c r="B565" s="14" t="s">
        <v>78</v>
      </c>
    </row>
    <row r="566" spans="1:2" x14ac:dyDescent="0.25">
      <c r="A566" s="14">
        <v>10723</v>
      </c>
      <c r="B566" s="14" t="s">
        <v>78</v>
      </c>
    </row>
    <row r="567" spans="1:2" x14ac:dyDescent="0.25">
      <c r="A567" s="14">
        <v>10724</v>
      </c>
      <c r="B567" s="14" t="s">
        <v>78</v>
      </c>
    </row>
    <row r="568" spans="1:2" x14ac:dyDescent="0.25">
      <c r="A568" s="14">
        <v>10725</v>
      </c>
      <c r="B568" s="14" t="s">
        <v>78</v>
      </c>
    </row>
    <row r="569" spans="1:2" x14ac:dyDescent="0.25">
      <c r="A569" s="14">
        <v>10726</v>
      </c>
      <c r="B569" s="14" t="s">
        <v>78</v>
      </c>
    </row>
    <row r="570" spans="1:2" x14ac:dyDescent="0.25">
      <c r="A570" s="14">
        <v>10727</v>
      </c>
      <c r="B570" s="14" t="s">
        <v>78</v>
      </c>
    </row>
    <row r="571" spans="1:2" x14ac:dyDescent="0.25">
      <c r="A571" s="14">
        <v>10728</v>
      </c>
      <c r="B571" s="14" t="s">
        <v>78</v>
      </c>
    </row>
    <row r="572" spans="1:2" x14ac:dyDescent="0.25">
      <c r="A572" s="14">
        <v>10729</v>
      </c>
      <c r="B572" s="14" t="s">
        <v>78</v>
      </c>
    </row>
    <row r="573" spans="1:2" x14ac:dyDescent="0.25">
      <c r="A573" s="14">
        <v>10732</v>
      </c>
      <c r="B573" s="14" t="s">
        <v>78</v>
      </c>
    </row>
    <row r="574" spans="1:2" x14ac:dyDescent="0.25">
      <c r="A574" s="14">
        <v>10733</v>
      </c>
      <c r="B574" s="14" t="s">
        <v>78</v>
      </c>
    </row>
    <row r="575" spans="1:2" x14ac:dyDescent="0.25">
      <c r="A575" s="14">
        <v>10734</v>
      </c>
      <c r="B575" s="14" t="s">
        <v>78</v>
      </c>
    </row>
    <row r="576" spans="1:2" x14ac:dyDescent="0.25">
      <c r="A576" s="14">
        <v>10737</v>
      </c>
      <c r="B576" s="14" t="s">
        <v>78</v>
      </c>
    </row>
    <row r="577" spans="1:2" x14ac:dyDescent="0.25">
      <c r="A577" s="14">
        <v>10738</v>
      </c>
      <c r="B577" s="14" t="s">
        <v>78</v>
      </c>
    </row>
    <row r="578" spans="1:2" x14ac:dyDescent="0.25">
      <c r="A578" s="14">
        <v>10739</v>
      </c>
      <c r="B578" s="14" t="s">
        <v>78</v>
      </c>
    </row>
    <row r="579" spans="1:2" x14ac:dyDescent="0.25">
      <c r="A579" s="14">
        <v>10740</v>
      </c>
      <c r="B579" s="14" t="s">
        <v>78</v>
      </c>
    </row>
    <row r="580" spans="1:2" x14ac:dyDescent="0.25">
      <c r="A580" s="14">
        <v>10741</v>
      </c>
      <c r="B580" s="14" t="s">
        <v>78</v>
      </c>
    </row>
    <row r="581" spans="1:2" x14ac:dyDescent="0.25">
      <c r="A581" s="14">
        <v>10742</v>
      </c>
      <c r="B581" s="14" t="s">
        <v>78</v>
      </c>
    </row>
    <row r="582" spans="1:2" x14ac:dyDescent="0.25">
      <c r="A582" s="14">
        <v>10743</v>
      </c>
      <c r="B582" s="14" t="s">
        <v>78</v>
      </c>
    </row>
    <row r="583" spans="1:2" x14ac:dyDescent="0.25">
      <c r="A583" s="14">
        <v>10746</v>
      </c>
      <c r="B583" s="14" t="s">
        <v>78</v>
      </c>
    </row>
    <row r="584" spans="1:2" x14ac:dyDescent="0.25">
      <c r="A584" s="14">
        <v>10748</v>
      </c>
      <c r="B584" s="14" t="s">
        <v>78</v>
      </c>
    </row>
    <row r="585" spans="1:2" x14ac:dyDescent="0.25">
      <c r="A585" s="14">
        <v>10749</v>
      </c>
      <c r="B585" s="14" t="s">
        <v>78</v>
      </c>
    </row>
    <row r="586" spans="1:2" x14ac:dyDescent="0.25">
      <c r="A586" s="14">
        <v>10751</v>
      </c>
      <c r="B586" s="14" t="s">
        <v>78</v>
      </c>
    </row>
    <row r="587" spans="1:2" x14ac:dyDescent="0.25">
      <c r="A587" s="14">
        <v>10752</v>
      </c>
      <c r="B587" s="14" t="s">
        <v>78</v>
      </c>
    </row>
    <row r="588" spans="1:2" x14ac:dyDescent="0.25">
      <c r="A588" s="14">
        <v>10753</v>
      </c>
      <c r="B588" s="14" t="s">
        <v>78</v>
      </c>
    </row>
    <row r="589" spans="1:2" x14ac:dyDescent="0.25">
      <c r="A589" s="14">
        <v>10755</v>
      </c>
      <c r="B589" s="14" t="s">
        <v>78</v>
      </c>
    </row>
    <row r="590" spans="1:2" x14ac:dyDescent="0.25">
      <c r="A590" s="14">
        <v>10756</v>
      </c>
      <c r="B590" s="14" t="s">
        <v>78</v>
      </c>
    </row>
    <row r="591" spans="1:2" x14ac:dyDescent="0.25">
      <c r="A591" s="14">
        <v>10758</v>
      </c>
      <c r="B591" s="14" t="s">
        <v>78</v>
      </c>
    </row>
    <row r="592" spans="1:2" x14ac:dyDescent="0.25">
      <c r="A592" s="14">
        <v>10759</v>
      </c>
      <c r="B592" s="14" t="s">
        <v>78</v>
      </c>
    </row>
    <row r="593" spans="1:2" x14ac:dyDescent="0.25">
      <c r="A593" s="14">
        <v>10760</v>
      </c>
      <c r="B593" s="14" t="s">
        <v>78</v>
      </c>
    </row>
    <row r="594" spans="1:2" x14ac:dyDescent="0.25">
      <c r="A594" s="14">
        <v>10762</v>
      </c>
      <c r="B594" s="14" t="s">
        <v>78</v>
      </c>
    </row>
    <row r="595" spans="1:2" x14ac:dyDescent="0.25">
      <c r="A595" s="14">
        <v>10763</v>
      </c>
      <c r="B595" s="14" t="s">
        <v>78</v>
      </c>
    </row>
    <row r="596" spans="1:2" x14ac:dyDescent="0.25">
      <c r="A596" s="14">
        <v>10765</v>
      </c>
      <c r="B596" s="14" t="s">
        <v>78</v>
      </c>
    </row>
    <row r="597" spans="1:2" x14ac:dyDescent="0.25">
      <c r="A597" s="14">
        <v>10766</v>
      </c>
      <c r="B597" s="14" t="s">
        <v>78</v>
      </c>
    </row>
    <row r="598" spans="1:2" x14ac:dyDescent="0.25">
      <c r="A598" s="14">
        <v>10767</v>
      </c>
      <c r="B598" s="14" t="s">
        <v>78</v>
      </c>
    </row>
    <row r="599" spans="1:2" x14ac:dyDescent="0.25">
      <c r="A599" s="14">
        <v>10768</v>
      </c>
      <c r="B599" s="14" t="s">
        <v>78</v>
      </c>
    </row>
    <row r="600" spans="1:2" x14ac:dyDescent="0.25">
      <c r="A600" s="14">
        <v>10769</v>
      </c>
      <c r="B600" s="14" t="s">
        <v>78</v>
      </c>
    </row>
    <row r="601" spans="1:2" x14ac:dyDescent="0.25">
      <c r="A601" s="14">
        <v>10770</v>
      </c>
      <c r="B601" s="14" t="s">
        <v>78</v>
      </c>
    </row>
    <row r="602" spans="1:2" x14ac:dyDescent="0.25">
      <c r="A602" s="14">
        <v>10772</v>
      </c>
      <c r="B602" s="14" t="s">
        <v>78</v>
      </c>
    </row>
    <row r="603" spans="1:2" x14ac:dyDescent="0.25">
      <c r="A603" s="14">
        <v>10773</v>
      </c>
      <c r="B603" s="14" t="s">
        <v>78</v>
      </c>
    </row>
    <row r="604" spans="1:2" x14ac:dyDescent="0.25">
      <c r="A604" s="14">
        <v>10774</v>
      </c>
      <c r="B604" s="14" t="s">
        <v>78</v>
      </c>
    </row>
    <row r="605" spans="1:2" x14ac:dyDescent="0.25">
      <c r="A605" s="14">
        <v>10776</v>
      </c>
      <c r="B605" s="14" t="s">
        <v>78</v>
      </c>
    </row>
    <row r="606" spans="1:2" x14ac:dyDescent="0.25">
      <c r="A606" s="14">
        <v>10778</v>
      </c>
      <c r="B606" s="14" t="s">
        <v>78</v>
      </c>
    </row>
    <row r="607" spans="1:2" x14ac:dyDescent="0.25">
      <c r="A607" s="14">
        <v>10779</v>
      </c>
      <c r="B607" s="14" t="s">
        <v>78</v>
      </c>
    </row>
    <row r="608" spans="1:2" x14ac:dyDescent="0.25">
      <c r="A608" s="14">
        <v>10780</v>
      </c>
      <c r="B608" s="14" t="s">
        <v>78</v>
      </c>
    </row>
    <row r="609" spans="1:2" x14ac:dyDescent="0.25">
      <c r="A609" s="14">
        <v>10781</v>
      </c>
      <c r="B609" s="14" t="s">
        <v>78</v>
      </c>
    </row>
    <row r="610" spans="1:2" x14ac:dyDescent="0.25">
      <c r="A610" s="14">
        <v>10783</v>
      </c>
      <c r="B610" s="14" t="s">
        <v>78</v>
      </c>
    </row>
    <row r="611" spans="1:2" x14ac:dyDescent="0.25">
      <c r="A611" s="14">
        <v>10784</v>
      </c>
      <c r="B611" s="14" t="s">
        <v>78</v>
      </c>
    </row>
    <row r="612" spans="1:2" x14ac:dyDescent="0.25">
      <c r="A612" s="14">
        <v>10785</v>
      </c>
      <c r="B612" s="14" t="s">
        <v>78</v>
      </c>
    </row>
    <row r="613" spans="1:2" x14ac:dyDescent="0.25">
      <c r="A613" s="14">
        <v>10786</v>
      </c>
      <c r="B613" s="14" t="s">
        <v>78</v>
      </c>
    </row>
    <row r="614" spans="1:2" x14ac:dyDescent="0.25">
      <c r="A614" s="14">
        <v>10787</v>
      </c>
      <c r="B614" s="14" t="s">
        <v>78</v>
      </c>
    </row>
    <row r="615" spans="1:2" x14ac:dyDescent="0.25">
      <c r="A615" s="14">
        <v>10788</v>
      </c>
      <c r="B615" s="14" t="s">
        <v>78</v>
      </c>
    </row>
    <row r="616" spans="1:2" x14ac:dyDescent="0.25">
      <c r="A616" s="14">
        <v>10789</v>
      </c>
      <c r="B616" s="14" t="s">
        <v>78</v>
      </c>
    </row>
    <row r="617" spans="1:2" x14ac:dyDescent="0.25">
      <c r="A617" s="14">
        <v>10792</v>
      </c>
      <c r="B617" s="14" t="s">
        <v>78</v>
      </c>
    </row>
    <row r="618" spans="1:2" x14ac:dyDescent="0.25">
      <c r="A618" s="14">
        <v>10793</v>
      </c>
      <c r="B618" s="14" t="s">
        <v>78</v>
      </c>
    </row>
    <row r="619" spans="1:2" x14ac:dyDescent="0.25">
      <c r="A619" s="14">
        <v>10795</v>
      </c>
      <c r="B619" s="14" t="s">
        <v>78</v>
      </c>
    </row>
    <row r="620" spans="1:2" x14ac:dyDescent="0.25">
      <c r="A620" s="14">
        <v>10796</v>
      </c>
      <c r="B620" s="14" t="s">
        <v>78</v>
      </c>
    </row>
    <row r="621" spans="1:2" x14ac:dyDescent="0.25">
      <c r="A621" s="14">
        <v>10798</v>
      </c>
      <c r="B621" s="14" t="s">
        <v>78</v>
      </c>
    </row>
    <row r="622" spans="1:2" x14ac:dyDescent="0.25">
      <c r="A622" s="14">
        <v>10800</v>
      </c>
      <c r="B622" s="14" t="s">
        <v>78</v>
      </c>
    </row>
    <row r="623" spans="1:2" x14ac:dyDescent="0.25">
      <c r="A623" s="14">
        <v>10801</v>
      </c>
      <c r="B623" s="14" t="s">
        <v>78</v>
      </c>
    </row>
    <row r="624" spans="1:2" x14ac:dyDescent="0.25">
      <c r="A624" s="14">
        <v>10802</v>
      </c>
      <c r="B624" s="14" t="s">
        <v>78</v>
      </c>
    </row>
    <row r="625" spans="1:2" x14ac:dyDescent="0.25">
      <c r="A625" s="14">
        <v>10803</v>
      </c>
      <c r="B625" s="14" t="s">
        <v>78</v>
      </c>
    </row>
    <row r="626" spans="1:2" x14ac:dyDescent="0.25">
      <c r="A626" s="14">
        <v>10805</v>
      </c>
      <c r="B626" s="14" t="s">
        <v>78</v>
      </c>
    </row>
    <row r="627" spans="1:2" x14ac:dyDescent="0.25">
      <c r="A627" s="14">
        <v>10806</v>
      </c>
      <c r="B627" s="14" t="s">
        <v>78</v>
      </c>
    </row>
    <row r="628" spans="1:2" x14ac:dyDescent="0.25">
      <c r="A628" s="14">
        <v>10807</v>
      </c>
      <c r="B628" s="14" t="s">
        <v>78</v>
      </c>
    </row>
    <row r="629" spans="1:2" x14ac:dyDescent="0.25">
      <c r="A629" s="14">
        <v>10808</v>
      </c>
      <c r="B629" s="14" t="s">
        <v>78</v>
      </c>
    </row>
    <row r="630" spans="1:2" x14ac:dyDescent="0.25">
      <c r="A630" s="14">
        <v>10810</v>
      </c>
      <c r="B630" s="14" t="s">
        <v>78</v>
      </c>
    </row>
    <row r="631" spans="1:2" x14ac:dyDescent="0.25">
      <c r="A631" s="14">
        <v>10811</v>
      </c>
      <c r="B631" s="14" t="s">
        <v>78</v>
      </c>
    </row>
    <row r="632" spans="1:2" x14ac:dyDescent="0.25">
      <c r="A632" s="14">
        <v>10813</v>
      </c>
      <c r="B632" s="14" t="s">
        <v>78</v>
      </c>
    </row>
    <row r="633" spans="1:2" x14ac:dyDescent="0.25">
      <c r="A633" s="14">
        <v>10814</v>
      </c>
      <c r="B633" s="14" t="s">
        <v>78</v>
      </c>
    </row>
    <row r="634" spans="1:2" x14ac:dyDescent="0.25">
      <c r="A634" s="14">
        <v>10815</v>
      </c>
      <c r="B634" s="14" t="s">
        <v>78</v>
      </c>
    </row>
    <row r="635" spans="1:2" x14ac:dyDescent="0.25">
      <c r="A635" s="14">
        <v>10816</v>
      </c>
      <c r="B635" s="14" t="s">
        <v>78</v>
      </c>
    </row>
    <row r="636" spans="1:2" x14ac:dyDescent="0.25">
      <c r="A636" s="14">
        <v>10817</v>
      </c>
      <c r="B636" s="14" t="s">
        <v>78</v>
      </c>
    </row>
    <row r="637" spans="1:2" x14ac:dyDescent="0.25">
      <c r="A637" s="14">
        <v>10819</v>
      </c>
      <c r="B637" s="14" t="s">
        <v>78</v>
      </c>
    </row>
    <row r="638" spans="1:2" x14ac:dyDescent="0.25">
      <c r="A638" s="14">
        <v>10820</v>
      </c>
      <c r="B638" s="14" t="s">
        <v>78</v>
      </c>
    </row>
    <row r="639" spans="1:2" x14ac:dyDescent="0.25">
      <c r="A639" s="14">
        <v>10821</v>
      </c>
      <c r="B639" s="14" t="s">
        <v>78</v>
      </c>
    </row>
    <row r="640" spans="1:2" x14ac:dyDescent="0.25">
      <c r="A640" s="14">
        <v>10824</v>
      </c>
      <c r="B640" s="14" t="s">
        <v>78</v>
      </c>
    </row>
    <row r="641" spans="1:2" x14ac:dyDescent="0.25">
      <c r="A641" s="14">
        <v>10825</v>
      </c>
      <c r="B641" s="14" t="s">
        <v>78</v>
      </c>
    </row>
    <row r="642" spans="1:2" x14ac:dyDescent="0.25">
      <c r="A642" s="14">
        <v>10827</v>
      </c>
      <c r="B642" s="14" t="s">
        <v>78</v>
      </c>
    </row>
    <row r="643" spans="1:2" x14ac:dyDescent="0.25">
      <c r="A643" s="14">
        <v>10830</v>
      </c>
      <c r="B643" s="14" t="s">
        <v>78</v>
      </c>
    </row>
    <row r="644" spans="1:2" x14ac:dyDescent="0.25">
      <c r="A644" s="14">
        <v>10831</v>
      </c>
      <c r="B644" s="14" t="s">
        <v>78</v>
      </c>
    </row>
    <row r="645" spans="1:2" x14ac:dyDescent="0.25">
      <c r="A645" s="14">
        <v>10832</v>
      </c>
      <c r="B645" s="14" t="s">
        <v>78</v>
      </c>
    </row>
    <row r="646" spans="1:2" x14ac:dyDescent="0.25">
      <c r="A646" s="14">
        <v>10834</v>
      </c>
      <c r="B646" s="14" t="s">
        <v>78</v>
      </c>
    </row>
    <row r="647" spans="1:2" x14ac:dyDescent="0.25">
      <c r="A647" s="14">
        <v>10835</v>
      </c>
      <c r="B647" s="14" t="s">
        <v>78</v>
      </c>
    </row>
    <row r="648" spans="1:2" x14ac:dyDescent="0.25">
      <c r="A648" s="14">
        <v>10838</v>
      </c>
      <c r="B648" s="14" t="s">
        <v>78</v>
      </c>
    </row>
    <row r="649" spans="1:2" x14ac:dyDescent="0.25">
      <c r="A649" s="14">
        <v>10839</v>
      </c>
      <c r="B649" s="14" t="s">
        <v>78</v>
      </c>
    </row>
    <row r="650" spans="1:2" x14ac:dyDescent="0.25">
      <c r="A650" s="14">
        <v>10840</v>
      </c>
      <c r="B650" s="14" t="s">
        <v>78</v>
      </c>
    </row>
    <row r="651" spans="1:2" x14ac:dyDescent="0.25">
      <c r="A651" s="14">
        <v>10842</v>
      </c>
      <c r="B651" s="14" t="s">
        <v>78</v>
      </c>
    </row>
    <row r="652" spans="1:2" x14ac:dyDescent="0.25">
      <c r="A652" s="14">
        <v>10843</v>
      </c>
      <c r="B652" s="14" t="s">
        <v>78</v>
      </c>
    </row>
    <row r="653" spans="1:2" x14ac:dyDescent="0.25">
      <c r="A653" s="14">
        <v>10844</v>
      </c>
      <c r="B653" s="14" t="s">
        <v>78</v>
      </c>
    </row>
    <row r="654" spans="1:2" x14ac:dyDescent="0.25">
      <c r="A654" s="14">
        <v>10845</v>
      </c>
      <c r="B654" s="14" t="s">
        <v>78</v>
      </c>
    </row>
    <row r="655" spans="1:2" x14ac:dyDescent="0.25">
      <c r="A655" s="14">
        <v>10846</v>
      </c>
      <c r="B655" s="14" t="s">
        <v>78</v>
      </c>
    </row>
    <row r="656" spans="1:2" x14ac:dyDescent="0.25">
      <c r="A656" s="14">
        <v>10847</v>
      </c>
      <c r="B656" s="14" t="s">
        <v>78</v>
      </c>
    </row>
    <row r="657" spans="1:2" x14ac:dyDescent="0.25">
      <c r="A657" s="14">
        <v>10850</v>
      </c>
      <c r="B657" s="14" t="s">
        <v>78</v>
      </c>
    </row>
    <row r="658" spans="1:2" x14ac:dyDescent="0.25">
      <c r="A658" s="14">
        <v>10852</v>
      </c>
      <c r="B658" s="14" t="s">
        <v>78</v>
      </c>
    </row>
    <row r="659" spans="1:2" x14ac:dyDescent="0.25">
      <c r="A659" s="14">
        <v>10854</v>
      </c>
      <c r="B659" s="14" t="s">
        <v>78</v>
      </c>
    </row>
    <row r="660" spans="1:2" x14ac:dyDescent="0.25">
      <c r="A660" s="14">
        <v>10855</v>
      </c>
      <c r="B660" s="14" t="s">
        <v>78</v>
      </c>
    </row>
    <row r="661" spans="1:2" x14ac:dyDescent="0.25">
      <c r="A661" s="14">
        <v>10856</v>
      </c>
      <c r="B661" s="14" t="s">
        <v>78</v>
      </c>
    </row>
    <row r="662" spans="1:2" x14ac:dyDescent="0.25">
      <c r="A662" s="14">
        <v>10857</v>
      </c>
      <c r="B662" s="14" t="s">
        <v>78</v>
      </c>
    </row>
    <row r="663" spans="1:2" x14ac:dyDescent="0.25">
      <c r="A663" s="14">
        <v>10858</v>
      </c>
      <c r="B663" s="14" t="s">
        <v>78</v>
      </c>
    </row>
    <row r="664" spans="1:2" x14ac:dyDescent="0.25">
      <c r="A664" s="14">
        <v>10859</v>
      </c>
      <c r="B664" s="14" t="s">
        <v>78</v>
      </c>
    </row>
    <row r="665" spans="1:2" x14ac:dyDescent="0.25">
      <c r="A665" s="14">
        <v>10860</v>
      </c>
      <c r="B665" s="14" t="s">
        <v>78</v>
      </c>
    </row>
    <row r="666" spans="1:2" x14ac:dyDescent="0.25">
      <c r="A666" s="14">
        <v>10861</v>
      </c>
      <c r="B666" s="14" t="s">
        <v>78</v>
      </c>
    </row>
    <row r="667" spans="1:2" x14ac:dyDescent="0.25">
      <c r="A667" s="14">
        <v>10862</v>
      </c>
      <c r="B667" s="14" t="s">
        <v>78</v>
      </c>
    </row>
    <row r="668" spans="1:2" x14ac:dyDescent="0.25">
      <c r="A668" s="14">
        <v>10863</v>
      </c>
      <c r="B668" s="14" t="s">
        <v>78</v>
      </c>
    </row>
    <row r="669" spans="1:2" x14ac:dyDescent="0.25">
      <c r="A669" s="14">
        <v>10864</v>
      </c>
      <c r="B669" s="14" t="s">
        <v>78</v>
      </c>
    </row>
    <row r="670" spans="1:2" x14ac:dyDescent="0.25">
      <c r="A670" s="14">
        <v>10865</v>
      </c>
      <c r="B670" s="14" t="s">
        <v>78</v>
      </c>
    </row>
    <row r="671" spans="1:2" x14ac:dyDescent="0.25">
      <c r="A671" s="14">
        <v>10873</v>
      </c>
      <c r="B671" s="14" t="s">
        <v>78</v>
      </c>
    </row>
    <row r="672" spans="1:2" x14ac:dyDescent="0.25">
      <c r="A672" s="14">
        <v>10875</v>
      </c>
      <c r="B672" s="14" t="s">
        <v>78</v>
      </c>
    </row>
    <row r="673" spans="1:2" x14ac:dyDescent="0.25">
      <c r="A673" s="14">
        <v>10877</v>
      </c>
      <c r="B673" s="14" t="s">
        <v>78</v>
      </c>
    </row>
    <row r="674" spans="1:2" x14ac:dyDescent="0.25">
      <c r="A674" s="14">
        <v>10878</v>
      </c>
      <c r="B674" s="14" t="s">
        <v>78</v>
      </c>
    </row>
    <row r="675" spans="1:2" x14ac:dyDescent="0.25">
      <c r="A675" s="14">
        <v>10879</v>
      </c>
      <c r="B675" s="14" t="s">
        <v>78</v>
      </c>
    </row>
    <row r="676" spans="1:2" x14ac:dyDescent="0.25">
      <c r="A676" s="14">
        <v>10881</v>
      </c>
      <c r="B676" s="14" t="s">
        <v>78</v>
      </c>
    </row>
    <row r="677" spans="1:2" x14ac:dyDescent="0.25">
      <c r="A677" s="14">
        <v>10882</v>
      </c>
      <c r="B677" s="14" t="s">
        <v>78</v>
      </c>
    </row>
    <row r="678" spans="1:2" x14ac:dyDescent="0.25">
      <c r="A678" s="14">
        <v>10883</v>
      </c>
      <c r="B678" s="14" t="s">
        <v>78</v>
      </c>
    </row>
    <row r="679" spans="1:2" x14ac:dyDescent="0.25">
      <c r="A679" s="14">
        <v>10884</v>
      </c>
      <c r="B679" s="14" t="s">
        <v>78</v>
      </c>
    </row>
    <row r="680" spans="1:2" x14ac:dyDescent="0.25">
      <c r="A680" s="14">
        <v>10886</v>
      </c>
      <c r="B680" s="14" t="s">
        <v>78</v>
      </c>
    </row>
    <row r="681" spans="1:2" x14ac:dyDescent="0.25">
      <c r="A681" s="14">
        <v>10887</v>
      </c>
      <c r="B681" s="14" t="s">
        <v>78</v>
      </c>
    </row>
    <row r="682" spans="1:2" x14ac:dyDescent="0.25">
      <c r="A682" s="14">
        <v>10888</v>
      </c>
      <c r="B682" s="14" t="s">
        <v>78</v>
      </c>
    </row>
    <row r="683" spans="1:2" x14ac:dyDescent="0.25">
      <c r="A683" s="14">
        <v>10892</v>
      </c>
      <c r="B683" s="14" t="s">
        <v>78</v>
      </c>
    </row>
    <row r="684" spans="1:2" x14ac:dyDescent="0.25">
      <c r="A684" s="14">
        <v>10894</v>
      </c>
      <c r="B684" s="14" t="s">
        <v>78</v>
      </c>
    </row>
    <row r="685" spans="1:2" x14ac:dyDescent="0.25">
      <c r="A685" s="14">
        <v>10895</v>
      </c>
      <c r="B685" s="14" t="s">
        <v>78</v>
      </c>
    </row>
    <row r="686" spans="1:2" x14ac:dyDescent="0.25">
      <c r="A686" s="14">
        <v>10897</v>
      </c>
      <c r="B686" s="14" t="s">
        <v>78</v>
      </c>
    </row>
    <row r="687" spans="1:2" x14ac:dyDescent="0.25">
      <c r="A687" s="14">
        <v>10898</v>
      </c>
      <c r="B687" s="14" t="s">
        <v>78</v>
      </c>
    </row>
    <row r="688" spans="1:2" x14ac:dyDescent="0.25">
      <c r="A688" s="14">
        <v>10900</v>
      </c>
      <c r="B688" s="14" t="s">
        <v>78</v>
      </c>
    </row>
    <row r="689" spans="1:2" x14ac:dyDescent="0.25">
      <c r="A689" s="14">
        <v>10901</v>
      </c>
      <c r="B689" s="14" t="s">
        <v>78</v>
      </c>
    </row>
    <row r="690" spans="1:2" x14ac:dyDescent="0.25">
      <c r="A690" s="14">
        <v>10902</v>
      </c>
      <c r="B690" s="14" t="s">
        <v>78</v>
      </c>
    </row>
    <row r="691" spans="1:2" x14ac:dyDescent="0.25">
      <c r="A691" s="14">
        <v>10903</v>
      </c>
      <c r="B691" s="14" t="s">
        <v>78</v>
      </c>
    </row>
    <row r="692" spans="1:2" x14ac:dyDescent="0.25">
      <c r="A692" s="14">
        <v>10904</v>
      </c>
      <c r="B692" s="14" t="s">
        <v>78</v>
      </c>
    </row>
    <row r="693" spans="1:2" x14ac:dyDescent="0.25">
      <c r="A693" s="14">
        <v>10906</v>
      </c>
      <c r="B693" s="14" t="s">
        <v>78</v>
      </c>
    </row>
    <row r="694" spans="1:2" x14ac:dyDescent="0.25">
      <c r="A694" s="14">
        <v>10908</v>
      </c>
      <c r="B694" s="14" t="s">
        <v>78</v>
      </c>
    </row>
    <row r="695" spans="1:2" x14ac:dyDescent="0.25">
      <c r="A695" s="14">
        <v>10909</v>
      </c>
      <c r="B695" s="14" t="s">
        <v>78</v>
      </c>
    </row>
    <row r="696" spans="1:2" x14ac:dyDescent="0.25">
      <c r="A696" s="14">
        <v>10910</v>
      </c>
      <c r="B696" s="14" t="s">
        <v>78</v>
      </c>
    </row>
    <row r="697" spans="1:2" x14ac:dyDescent="0.25">
      <c r="A697" s="14">
        <v>10911</v>
      </c>
      <c r="B697" s="14" t="s">
        <v>78</v>
      </c>
    </row>
    <row r="698" spans="1:2" x14ac:dyDescent="0.25">
      <c r="A698" s="14">
        <v>10912</v>
      </c>
      <c r="B698" s="14" t="s">
        <v>78</v>
      </c>
    </row>
    <row r="699" spans="1:2" x14ac:dyDescent="0.25">
      <c r="A699" s="14">
        <v>10913</v>
      </c>
      <c r="B699" s="14" t="s">
        <v>78</v>
      </c>
    </row>
    <row r="700" spans="1:2" x14ac:dyDescent="0.25">
      <c r="A700" s="14">
        <v>10915</v>
      </c>
      <c r="B700" s="14" t="s">
        <v>78</v>
      </c>
    </row>
    <row r="701" spans="1:2" x14ac:dyDescent="0.25">
      <c r="A701" s="14">
        <v>10916</v>
      </c>
      <c r="B701" s="14" t="s">
        <v>78</v>
      </c>
    </row>
    <row r="702" spans="1:2" x14ac:dyDescent="0.25">
      <c r="A702" s="14">
        <v>10917</v>
      </c>
      <c r="B702" s="14" t="s">
        <v>78</v>
      </c>
    </row>
    <row r="703" spans="1:2" x14ac:dyDescent="0.25">
      <c r="A703" s="14">
        <v>10918</v>
      </c>
      <c r="B703" s="14" t="s">
        <v>78</v>
      </c>
    </row>
    <row r="704" spans="1:2" x14ac:dyDescent="0.25">
      <c r="A704" s="14">
        <v>10919</v>
      </c>
      <c r="B704" s="14" t="s">
        <v>78</v>
      </c>
    </row>
    <row r="705" spans="1:2" x14ac:dyDescent="0.25">
      <c r="A705" s="14">
        <v>10920</v>
      </c>
      <c r="B705" s="14" t="s">
        <v>78</v>
      </c>
    </row>
    <row r="706" spans="1:2" x14ac:dyDescent="0.25">
      <c r="A706" s="14">
        <v>10921</v>
      </c>
      <c r="B706" s="14" t="s">
        <v>78</v>
      </c>
    </row>
    <row r="707" spans="1:2" x14ac:dyDescent="0.25">
      <c r="A707" s="14">
        <v>10924</v>
      </c>
      <c r="B707" s="14" t="s">
        <v>78</v>
      </c>
    </row>
    <row r="708" spans="1:2" x14ac:dyDescent="0.25">
      <c r="A708" s="14">
        <v>10925</v>
      </c>
      <c r="B708" s="14" t="s">
        <v>78</v>
      </c>
    </row>
    <row r="709" spans="1:2" x14ac:dyDescent="0.25">
      <c r="A709" s="14">
        <v>10926</v>
      </c>
      <c r="B709" s="14" t="s">
        <v>78</v>
      </c>
    </row>
    <row r="710" spans="1:2" x14ac:dyDescent="0.25">
      <c r="A710" s="14">
        <v>10927</v>
      </c>
      <c r="B710" s="14" t="s">
        <v>78</v>
      </c>
    </row>
    <row r="711" spans="1:2" x14ac:dyDescent="0.25">
      <c r="A711" s="14">
        <v>10928</v>
      </c>
      <c r="B711" s="14" t="s">
        <v>78</v>
      </c>
    </row>
    <row r="712" spans="1:2" x14ac:dyDescent="0.25">
      <c r="A712" s="14">
        <v>10930</v>
      </c>
      <c r="B712" s="14" t="s">
        <v>78</v>
      </c>
    </row>
    <row r="713" spans="1:2" x14ac:dyDescent="0.25">
      <c r="A713" s="14">
        <v>10931</v>
      </c>
      <c r="B713" s="14" t="s">
        <v>78</v>
      </c>
    </row>
    <row r="714" spans="1:2" x14ac:dyDescent="0.25">
      <c r="A714" s="14">
        <v>10932</v>
      </c>
      <c r="B714" s="14" t="s">
        <v>78</v>
      </c>
    </row>
    <row r="715" spans="1:2" x14ac:dyDescent="0.25">
      <c r="A715" s="14">
        <v>10934</v>
      </c>
      <c r="B715" s="14" t="s">
        <v>78</v>
      </c>
    </row>
    <row r="716" spans="1:2" x14ac:dyDescent="0.25">
      <c r="A716" s="14">
        <v>10935</v>
      </c>
      <c r="B716" s="14" t="s">
        <v>78</v>
      </c>
    </row>
    <row r="717" spans="1:2" x14ac:dyDescent="0.25">
      <c r="A717" s="14">
        <v>10936</v>
      </c>
      <c r="B717" s="14" t="s">
        <v>78</v>
      </c>
    </row>
    <row r="718" spans="1:2" x14ac:dyDescent="0.25">
      <c r="A718" s="14">
        <v>10938</v>
      </c>
      <c r="B718" s="14" t="s">
        <v>78</v>
      </c>
    </row>
    <row r="719" spans="1:2" x14ac:dyDescent="0.25">
      <c r="A719" s="14">
        <v>10939</v>
      </c>
      <c r="B719" s="14" t="s">
        <v>78</v>
      </c>
    </row>
    <row r="720" spans="1:2" x14ac:dyDescent="0.25">
      <c r="A720" s="14">
        <v>10940</v>
      </c>
      <c r="B720" s="14" t="s">
        <v>78</v>
      </c>
    </row>
    <row r="721" spans="1:2" x14ac:dyDescent="0.25">
      <c r="A721" s="14">
        <v>10943</v>
      </c>
      <c r="B721" s="14" t="s">
        <v>78</v>
      </c>
    </row>
    <row r="722" spans="1:2" x14ac:dyDescent="0.25">
      <c r="A722" s="14">
        <v>10945</v>
      </c>
      <c r="B722" s="14" t="s">
        <v>78</v>
      </c>
    </row>
    <row r="723" spans="1:2" x14ac:dyDescent="0.25">
      <c r="A723" s="14">
        <v>10946</v>
      </c>
      <c r="B723" s="14" t="s">
        <v>78</v>
      </c>
    </row>
    <row r="724" spans="1:2" x14ac:dyDescent="0.25">
      <c r="A724" s="14">
        <v>10947</v>
      </c>
      <c r="B724" s="14" t="s">
        <v>78</v>
      </c>
    </row>
    <row r="725" spans="1:2" x14ac:dyDescent="0.25">
      <c r="A725" s="14">
        <v>10948</v>
      </c>
      <c r="B725" s="14" t="s">
        <v>78</v>
      </c>
    </row>
    <row r="726" spans="1:2" x14ac:dyDescent="0.25">
      <c r="A726" s="14">
        <v>10949</v>
      </c>
      <c r="B726" s="14" t="s">
        <v>78</v>
      </c>
    </row>
    <row r="727" spans="1:2" x14ac:dyDescent="0.25">
      <c r="A727" s="14">
        <v>10950</v>
      </c>
      <c r="B727" s="14" t="s">
        <v>78</v>
      </c>
    </row>
    <row r="728" spans="1:2" x14ac:dyDescent="0.25">
      <c r="A728" s="14">
        <v>10952</v>
      </c>
      <c r="B728" s="14" t="s">
        <v>78</v>
      </c>
    </row>
    <row r="729" spans="1:2" x14ac:dyDescent="0.25">
      <c r="A729" s="14">
        <v>10955</v>
      </c>
      <c r="B729" s="14" t="s">
        <v>78</v>
      </c>
    </row>
    <row r="730" spans="1:2" x14ac:dyDescent="0.25">
      <c r="A730" s="14">
        <v>10957</v>
      </c>
      <c r="B730" s="14" t="s">
        <v>78</v>
      </c>
    </row>
    <row r="731" spans="1:2" x14ac:dyDescent="0.25">
      <c r="A731" s="14">
        <v>10960</v>
      </c>
      <c r="B731" s="14" t="s">
        <v>78</v>
      </c>
    </row>
    <row r="732" spans="1:2" x14ac:dyDescent="0.25">
      <c r="A732" s="14">
        <v>10961</v>
      </c>
      <c r="B732" s="14" t="s">
        <v>78</v>
      </c>
    </row>
    <row r="733" spans="1:2" x14ac:dyDescent="0.25">
      <c r="A733" s="14">
        <v>10962</v>
      </c>
      <c r="B733" s="14" t="s">
        <v>78</v>
      </c>
    </row>
    <row r="734" spans="1:2" x14ac:dyDescent="0.25">
      <c r="A734" s="14">
        <v>10964</v>
      </c>
      <c r="B734" s="14" t="s">
        <v>78</v>
      </c>
    </row>
    <row r="735" spans="1:2" x14ac:dyDescent="0.25">
      <c r="A735" s="14">
        <v>10966</v>
      </c>
      <c r="B735" s="14" t="s">
        <v>78</v>
      </c>
    </row>
    <row r="736" spans="1:2" x14ac:dyDescent="0.25">
      <c r="A736" s="14">
        <v>10967</v>
      </c>
      <c r="B736" s="14" t="s">
        <v>78</v>
      </c>
    </row>
    <row r="737" spans="1:2" x14ac:dyDescent="0.25">
      <c r="A737" s="14">
        <v>10968</v>
      </c>
      <c r="B737" s="14" t="s">
        <v>78</v>
      </c>
    </row>
    <row r="738" spans="1:2" x14ac:dyDescent="0.25">
      <c r="A738" s="14">
        <v>10969</v>
      </c>
      <c r="B738" s="14" t="s">
        <v>78</v>
      </c>
    </row>
    <row r="739" spans="1:2" x14ac:dyDescent="0.25">
      <c r="A739" s="14">
        <v>10971</v>
      </c>
      <c r="B739" s="14" t="s">
        <v>78</v>
      </c>
    </row>
    <row r="740" spans="1:2" x14ac:dyDescent="0.25">
      <c r="A740" s="14">
        <v>10972</v>
      </c>
      <c r="B740" s="14" t="s">
        <v>78</v>
      </c>
    </row>
    <row r="741" spans="1:2" x14ac:dyDescent="0.25">
      <c r="A741" s="14">
        <v>10974</v>
      </c>
      <c r="B741" s="14" t="s">
        <v>78</v>
      </c>
    </row>
    <row r="742" spans="1:2" x14ac:dyDescent="0.25">
      <c r="A742" s="14">
        <v>10975</v>
      </c>
      <c r="B742" s="14" t="s">
        <v>78</v>
      </c>
    </row>
    <row r="743" spans="1:2" x14ac:dyDescent="0.25">
      <c r="A743" s="14">
        <v>10976</v>
      </c>
      <c r="B743" s="14" t="s">
        <v>78</v>
      </c>
    </row>
    <row r="744" spans="1:2" x14ac:dyDescent="0.25">
      <c r="A744" s="14">
        <v>10977</v>
      </c>
      <c r="B744" s="14" t="s">
        <v>78</v>
      </c>
    </row>
    <row r="745" spans="1:2" x14ac:dyDescent="0.25">
      <c r="A745" s="14">
        <v>10979</v>
      </c>
      <c r="B745" s="14" t="s">
        <v>78</v>
      </c>
    </row>
    <row r="746" spans="1:2" x14ac:dyDescent="0.25">
      <c r="A746" s="14">
        <v>10980</v>
      </c>
      <c r="B746" s="14" t="s">
        <v>78</v>
      </c>
    </row>
    <row r="747" spans="1:2" x14ac:dyDescent="0.25">
      <c r="A747" s="14">
        <v>10981</v>
      </c>
      <c r="B747" s="14" t="s">
        <v>78</v>
      </c>
    </row>
    <row r="748" spans="1:2" x14ac:dyDescent="0.25">
      <c r="A748" s="14">
        <v>10982</v>
      </c>
      <c r="B748" s="14" t="s">
        <v>78</v>
      </c>
    </row>
    <row r="749" spans="1:2" x14ac:dyDescent="0.25">
      <c r="A749" s="14">
        <v>10983</v>
      </c>
      <c r="B749" s="14" t="s">
        <v>78</v>
      </c>
    </row>
    <row r="750" spans="1:2" x14ac:dyDescent="0.25">
      <c r="A750" s="14">
        <v>10984</v>
      </c>
      <c r="B750" s="14" t="s">
        <v>78</v>
      </c>
    </row>
    <row r="751" spans="1:2" x14ac:dyDescent="0.25">
      <c r="A751" s="14">
        <v>10985</v>
      </c>
      <c r="B751" s="14" t="s">
        <v>78</v>
      </c>
    </row>
    <row r="752" spans="1:2" x14ac:dyDescent="0.25">
      <c r="A752" s="14">
        <v>10986</v>
      </c>
      <c r="B752" s="14" t="s">
        <v>78</v>
      </c>
    </row>
    <row r="753" spans="1:2" x14ac:dyDescent="0.25">
      <c r="A753" s="14">
        <v>10987</v>
      </c>
      <c r="B753" s="14" t="s">
        <v>78</v>
      </c>
    </row>
    <row r="754" spans="1:2" x14ac:dyDescent="0.25">
      <c r="A754" s="14">
        <v>10988</v>
      </c>
      <c r="B754" s="14" t="s">
        <v>78</v>
      </c>
    </row>
    <row r="755" spans="1:2" x14ac:dyDescent="0.25">
      <c r="A755" s="14">
        <v>10989</v>
      </c>
      <c r="B755" s="14" t="s">
        <v>78</v>
      </c>
    </row>
    <row r="756" spans="1:2" x14ac:dyDescent="0.25">
      <c r="A756" s="14">
        <v>10990</v>
      </c>
      <c r="B756" s="14" t="s">
        <v>78</v>
      </c>
    </row>
    <row r="757" spans="1:2" x14ac:dyDescent="0.25">
      <c r="A757" s="14">
        <v>10991</v>
      </c>
      <c r="B757" s="14" t="s">
        <v>78</v>
      </c>
    </row>
    <row r="758" spans="1:2" x14ac:dyDescent="0.25">
      <c r="A758" s="14">
        <v>10992</v>
      </c>
      <c r="B758" s="14" t="s">
        <v>78</v>
      </c>
    </row>
    <row r="759" spans="1:2" x14ac:dyDescent="0.25">
      <c r="A759" s="14">
        <v>10994</v>
      </c>
      <c r="B759" s="14" t="s">
        <v>78</v>
      </c>
    </row>
    <row r="760" spans="1:2" x14ac:dyDescent="0.25">
      <c r="A760" s="14">
        <v>10995</v>
      </c>
      <c r="B760" s="14" t="s">
        <v>78</v>
      </c>
    </row>
    <row r="761" spans="1:2" x14ac:dyDescent="0.25">
      <c r="A761" s="14">
        <v>10996</v>
      </c>
      <c r="B761" s="14" t="s">
        <v>78</v>
      </c>
    </row>
    <row r="762" spans="1:2" x14ac:dyDescent="0.25">
      <c r="A762" s="14">
        <v>10997</v>
      </c>
      <c r="B762" s="14" t="s">
        <v>78</v>
      </c>
    </row>
    <row r="763" spans="1:2" x14ac:dyDescent="0.25">
      <c r="A763" s="14">
        <v>10998</v>
      </c>
      <c r="B763" s="14" t="s">
        <v>78</v>
      </c>
    </row>
    <row r="764" spans="1:2" x14ac:dyDescent="0.25">
      <c r="A764" s="14">
        <v>11000</v>
      </c>
      <c r="B764" s="14" t="s">
        <v>78</v>
      </c>
    </row>
    <row r="765" spans="1:2" x14ac:dyDescent="0.25">
      <c r="A765" s="14">
        <v>11001</v>
      </c>
      <c r="B765" s="14" t="s">
        <v>78</v>
      </c>
    </row>
    <row r="766" spans="1:2" x14ac:dyDescent="0.25">
      <c r="A766" s="14">
        <v>11002</v>
      </c>
      <c r="B766" s="14" t="s">
        <v>78</v>
      </c>
    </row>
    <row r="767" spans="1:2" x14ac:dyDescent="0.25">
      <c r="A767" s="14">
        <v>11003</v>
      </c>
      <c r="B767" s="14" t="s">
        <v>78</v>
      </c>
    </row>
    <row r="768" spans="1:2" x14ac:dyDescent="0.25">
      <c r="A768" s="14">
        <v>11004</v>
      </c>
      <c r="B768" s="14" t="s">
        <v>78</v>
      </c>
    </row>
    <row r="769" spans="1:2" x14ac:dyDescent="0.25">
      <c r="A769" s="14">
        <v>11005</v>
      </c>
      <c r="B769" s="14" t="s">
        <v>78</v>
      </c>
    </row>
    <row r="770" spans="1:2" x14ac:dyDescent="0.25">
      <c r="A770" s="14">
        <v>11006</v>
      </c>
      <c r="B770" s="14" t="s">
        <v>78</v>
      </c>
    </row>
    <row r="771" spans="1:2" x14ac:dyDescent="0.25">
      <c r="A771" s="14">
        <v>11007</v>
      </c>
      <c r="B771" s="14" t="s">
        <v>78</v>
      </c>
    </row>
    <row r="772" spans="1:2" x14ac:dyDescent="0.25">
      <c r="A772" s="14">
        <v>11009</v>
      </c>
      <c r="B772" s="14" t="s">
        <v>78</v>
      </c>
    </row>
    <row r="773" spans="1:2" x14ac:dyDescent="0.25">
      <c r="A773" s="14">
        <v>11010</v>
      </c>
      <c r="B773" s="14" t="s">
        <v>78</v>
      </c>
    </row>
    <row r="774" spans="1:2" x14ac:dyDescent="0.25">
      <c r="A774" s="14">
        <v>11011</v>
      </c>
      <c r="B774" s="14" t="s">
        <v>78</v>
      </c>
    </row>
    <row r="775" spans="1:2" x14ac:dyDescent="0.25">
      <c r="A775" s="14">
        <v>11012</v>
      </c>
      <c r="B775" s="14" t="s">
        <v>78</v>
      </c>
    </row>
    <row r="776" spans="1:2" x14ac:dyDescent="0.25">
      <c r="A776" s="14">
        <v>11013</v>
      </c>
      <c r="B776" s="14" t="s">
        <v>78</v>
      </c>
    </row>
    <row r="777" spans="1:2" x14ac:dyDescent="0.25">
      <c r="A777" s="14">
        <v>11014</v>
      </c>
      <c r="B777" s="14" t="s">
        <v>78</v>
      </c>
    </row>
    <row r="778" spans="1:2" x14ac:dyDescent="0.25">
      <c r="A778" s="14">
        <v>11015</v>
      </c>
      <c r="B778" s="14" t="s">
        <v>78</v>
      </c>
    </row>
    <row r="779" spans="1:2" x14ac:dyDescent="0.25">
      <c r="A779" s="14">
        <v>11018</v>
      </c>
      <c r="B779" s="14" t="s">
        <v>78</v>
      </c>
    </row>
    <row r="780" spans="1:2" x14ac:dyDescent="0.25">
      <c r="A780" s="14">
        <v>11020</v>
      </c>
      <c r="B780" s="14" t="s">
        <v>78</v>
      </c>
    </row>
    <row r="781" spans="1:2" x14ac:dyDescent="0.25">
      <c r="A781" s="14">
        <v>11021</v>
      </c>
      <c r="B781" s="14" t="s">
        <v>78</v>
      </c>
    </row>
    <row r="782" spans="1:2" x14ac:dyDescent="0.25">
      <c r="A782" s="14">
        <v>11023</v>
      </c>
      <c r="B782" s="14" t="s">
        <v>78</v>
      </c>
    </row>
    <row r="783" spans="1:2" x14ac:dyDescent="0.25">
      <c r="A783" s="14">
        <v>11024</v>
      </c>
      <c r="B783" s="14" t="s">
        <v>78</v>
      </c>
    </row>
    <row r="784" spans="1:2" x14ac:dyDescent="0.25">
      <c r="A784" s="14">
        <v>11026</v>
      </c>
      <c r="B784" s="14" t="s">
        <v>78</v>
      </c>
    </row>
    <row r="785" spans="1:2" x14ac:dyDescent="0.25">
      <c r="A785" s="14">
        <v>11027</v>
      </c>
      <c r="B785" s="14" t="s">
        <v>78</v>
      </c>
    </row>
    <row r="786" spans="1:2" x14ac:dyDescent="0.25">
      <c r="A786" s="14">
        <v>11028</v>
      </c>
      <c r="B786" s="14" t="s">
        <v>78</v>
      </c>
    </row>
    <row r="787" spans="1:2" x14ac:dyDescent="0.25">
      <c r="A787" s="14">
        <v>11029</v>
      </c>
      <c r="B787" s="14" t="s">
        <v>78</v>
      </c>
    </row>
    <row r="788" spans="1:2" x14ac:dyDescent="0.25">
      <c r="A788" s="14">
        <v>11032</v>
      </c>
      <c r="B788" s="14" t="s">
        <v>78</v>
      </c>
    </row>
    <row r="789" spans="1:2" x14ac:dyDescent="0.25">
      <c r="A789" s="14">
        <v>11034</v>
      </c>
      <c r="B789" s="14" t="s">
        <v>78</v>
      </c>
    </row>
    <row r="790" spans="1:2" x14ac:dyDescent="0.25">
      <c r="A790" s="14">
        <v>11035</v>
      </c>
      <c r="B790" s="14" t="s">
        <v>78</v>
      </c>
    </row>
    <row r="791" spans="1:2" x14ac:dyDescent="0.25">
      <c r="A791" s="14">
        <v>11036</v>
      </c>
      <c r="B791" s="14" t="s">
        <v>78</v>
      </c>
    </row>
    <row r="792" spans="1:2" x14ac:dyDescent="0.25">
      <c r="A792" s="14">
        <v>11038</v>
      </c>
      <c r="B792" s="14" t="s">
        <v>78</v>
      </c>
    </row>
    <row r="793" spans="1:2" x14ac:dyDescent="0.25">
      <c r="A793" s="14">
        <v>11041</v>
      </c>
      <c r="B793" s="14" t="s">
        <v>78</v>
      </c>
    </row>
    <row r="794" spans="1:2" x14ac:dyDescent="0.25">
      <c r="A794" s="14">
        <v>11042</v>
      </c>
      <c r="B794" s="14" t="s">
        <v>78</v>
      </c>
    </row>
    <row r="795" spans="1:2" x14ac:dyDescent="0.25">
      <c r="A795" s="14">
        <v>11044</v>
      </c>
      <c r="B795" s="14" t="s">
        <v>78</v>
      </c>
    </row>
    <row r="796" spans="1:2" x14ac:dyDescent="0.25">
      <c r="A796" s="14">
        <v>11046</v>
      </c>
      <c r="B796" s="14" t="s">
        <v>78</v>
      </c>
    </row>
    <row r="797" spans="1:2" x14ac:dyDescent="0.25">
      <c r="A797" s="14">
        <v>11052</v>
      </c>
      <c r="B797" s="14" t="s">
        <v>78</v>
      </c>
    </row>
    <row r="798" spans="1:2" x14ac:dyDescent="0.25">
      <c r="A798" s="14">
        <v>11053</v>
      </c>
      <c r="B798" s="14" t="s">
        <v>78</v>
      </c>
    </row>
    <row r="799" spans="1:2" x14ac:dyDescent="0.25">
      <c r="A799" s="14">
        <v>11056</v>
      </c>
      <c r="B799" s="14" t="s">
        <v>78</v>
      </c>
    </row>
    <row r="800" spans="1:2" x14ac:dyDescent="0.25">
      <c r="A800" s="14">
        <v>11057</v>
      </c>
      <c r="B800" s="14"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showGridLines="0" zoomScale="85" zoomScaleNormal="85" workbookViewId="0">
      <selection activeCell="J5" sqref="J5"/>
    </sheetView>
  </sheetViews>
  <sheetFormatPr defaultRowHeight="15" x14ac:dyDescent="0.25"/>
  <cols>
    <col min="10" max="10" width="26.28515625" customWidth="1"/>
    <col min="12" max="12" width="35.28515625" customWidth="1"/>
  </cols>
  <sheetData>
    <row r="1" spans="1:12" x14ac:dyDescent="0.25">
      <c r="A1" s="2"/>
      <c r="B1" s="2" t="s">
        <v>139</v>
      </c>
      <c r="C1" s="2" t="s">
        <v>140</v>
      </c>
      <c r="D1" s="2" t="s">
        <v>83</v>
      </c>
      <c r="E1" s="2" t="s">
        <v>141</v>
      </c>
    </row>
    <row r="2" spans="1:12" ht="30.75" customHeight="1" x14ac:dyDescent="0.25">
      <c r="A2" s="2" t="s">
        <v>142</v>
      </c>
      <c r="B2" s="3">
        <v>224789</v>
      </c>
      <c r="C2" s="3">
        <v>127750</v>
      </c>
      <c r="D2" s="3">
        <v>188622</v>
      </c>
      <c r="E2" s="3">
        <v>215972</v>
      </c>
    </row>
    <row r="3" spans="1:12" x14ac:dyDescent="0.25">
      <c r="A3" s="2" t="s">
        <v>143</v>
      </c>
      <c r="B3" s="3">
        <v>273617</v>
      </c>
      <c r="C3" s="3">
        <v>310450</v>
      </c>
      <c r="D3" s="3">
        <v>16484</v>
      </c>
      <c r="E3" s="3">
        <v>204802</v>
      </c>
    </row>
    <row r="4" spans="1:12" x14ac:dyDescent="0.25">
      <c r="A4" s="2" t="s">
        <v>144</v>
      </c>
      <c r="B4" s="3">
        <v>180523</v>
      </c>
      <c r="C4" s="3">
        <v>169481</v>
      </c>
      <c r="D4" s="3">
        <v>197774</v>
      </c>
      <c r="E4" s="3">
        <v>275837</v>
      </c>
    </row>
    <row r="5" spans="1:12" x14ac:dyDescent="0.25">
      <c r="A5" s="2" t="s">
        <v>145</v>
      </c>
      <c r="B5" s="3">
        <v>26854</v>
      </c>
      <c r="C5" s="3">
        <v>157752</v>
      </c>
      <c r="D5" s="3">
        <v>56231</v>
      </c>
      <c r="E5" s="3">
        <v>243285</v>
      </c>
      <c r="H5" s="2" t="s">
        <v>139</v>
      </c>
      <c r="I5" s="2" t="s">
        <v>142</v>
      </c>
      <c r="J5" s="1">
        <f>_xlfn.XLOOKUP(I5,A1:A7,B1:B7,0,0)</f>
        <v>224789</v>
      </c>
    </row>
    <row r="6" spans="1:12" x14ac:dyDescent="0.25">
      <c r="A6" s="2" t="s">
        <v>146</v>
      </c>
      <c r="B6" s="3">
        <v>122420</v>
      </c>
      <c r="C6" s="3">
        <v>254307</v>
      </c>
      <c r="D6" s="3">
        <v>161682</v>
      </c>
      <c r="E6" s="3">
        <v>116720</v>
      </c>
    </row>
    <row r="7" spans="1:12" x14ac:dyDescent="0.25">
      <c r="A7" s="2" t="s">
        <v>147</v>
      </c>
      <c r="B7" s="3">
        <v>15618</v>
      </c>
      <c r="C7" s="3">
        <v>290770</v>
      </c>
      <c r="D7" s="3">
        <v>192488</v>
      </c>
      <c r="E7" s="3">
        <v>280013</v>
      </c>
      <c r="H7" s="67" t="s">
        <v>148</v>
      </c>
      <c r="I7" s="67"/>
      <c r="J7" s="67"/>
      <c r="K7" s="67"/>
      <c r="L7" s="67"/>
    </row>
  </sheetData>
  <mergeCells count="1">
    <mergeCell ref="H7:L7"/>
  </mergeCells>
  <dataValidations count="2">
    <dataValidation type="list" allowBlank="1" showInputMessage="1" showErrorMessage="1" sqref="I5" xr:uid="{4156C648-8132-4035-AA0D-99DE1962D77D}">
      <formula1>$A$2:$A$7</formula1>
    </dataValidation>
    <dataValidation type="list" allowBlank="1" showInputMessage="1" showErrorMessage="1" sqref="H5" xr:uid="{ABFF547B-15B1-444E-9249-147C2008D84C}">
      <formula1>$B$1:$E$1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showGridLines="0" workbookViewId="0">
      <selection activeCell="I2" sqref="I2"/>
    </sheetView>
  </sheetViews>
  <sheetFormatPr defaultRowHeight="15" x14ac:dyDescent="0.25"/>
  <cols>
    <col min="2" max="2" width="12.140625" bestFit="1" customWidth="1"/>
    <col min="9" max="9" width="12.42578125" customWidth="1"/>
  </cols>
  <sheetData>
    <row r="1" spans="1:9" x14ac:dyDescent="0.25">
      <c r="A1" s="4" t="s">
        <v>0</v>
      </c>
      <c r="B1" s="4" t="s">
        <v>1</v>
      </c>
      <c r="H1" s="4" t="s">
        <v>0</v>
      </c>
      <c r="I1" s="4" t="s">
        <v>1</v>
      </c>
    </row>
    <row r="2" spans="1:9" x14ac:dyDescent="0.25">
      <c r="A2" s="5">
        <v>10248</v>
      </c>
      <c r="B2" s="6" t="s">
        <v>2</v>
      </c>
      <c r="H2" s="5">
        <v>10250</v>
      </c>
      <c r="I2" s="1" t="str">
        <f>VLOOKUP(H2,A1:B9,2,FALSE)</f>
        <v>Lee</v>
      </c>
    </row>
    <row r="3" spans="1:9" x14ac:dyDescent="0.25">
      <c r="A3" s="5">
        <v>10249</v>
      </c>
      <c r="B3" s="6" t="s">
        <v>3</v>
      </c>
      <c r="H3" s="5">
        <v>10251</v>
      </c>
      <c r="I3" s="1" t="str">
        <f t="shared" ref="I3:I4" si="0">VLOOKUP(H3,A2:B10,2,FALSE)</f>
        <v>Leverling</v>
      </c>
    </row>
    <row r="4" spans="1:9" x14ac:dyDescent="0.25">
      <c r="A4" s="5">
        <v>10250</v>
      </c>
      <c r="B4" s="6" t="s">
        <v>4</v>
      </c>
      <c r="H4" s="5">
        <v>10252</v>
      </c>
      <c r="I4" s="1" t="str">
        <f t="shared" si="0"/>
        <v>Dodsworth</v>
      </c>
    </row>
    <row r="5" spans="1:9" x14ac:dyDescent="0.25">
      <c r="A5" s="5">
        <v>10251</v>
      </c>
      <c r="B5" s="6" t="s">
        <v>5</v>
      </c>
    </row>
    <row r="6" spans="1:9" x14ac:dyDescent="0.25">
      <c r="A6" s="5">
        <v>10252</v>
      </c>
      <c r="B6" s="6" t="s">
        <v>6</v>
      </c>
    </row>
    <row r="7" spans="1:9" x14ac:dyDescent="0.25">
      <c r="A7" s="5">
        <v>10253</v>
      </c>
      <c r="B7" s="6" t="s">
        <v>5</v>
      </c>
    </row>
    <row r="8" spans="1:9" x14ac:dyDescent="0.25">
      <c r="A8" s="5">
        <v>10254</v>
      </c>
      <c r="B8" s="6" t="s">
        <v>2</v>
      </c>
    </row>
    <row r="9" spans="1:9" x14ac:dyDescent="0.25">
      <c r="A9" s="5">
        <v>10255</v>
      </c>
      <c r="B9" s="6"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FBD42-2CD6-424A-8F9A-203F7F6221E8}">
  <dimension ref="A1:F22"/>
  <sheetViews>
    <sheetView workbookViewId="0">
      <selection activeCell="D1" sqref="D1"/>
    </sheetView>
  </sheetViews>
  <sheetFormatPr defaultRowHeight="15" x14ac:dyDescent="0.25"/>
  <sheetData>
    <row r="1" spans="1:6" x14ac:dyDescent="0.25">
      <c r="A1">
        <v>88</v>
      </c>
      <c r="D1" s="1" cm="1">
        <f t="array" ref="D1">SUM(LARGE(A1:A22,{1,2,3,4,5}))</f>
        <v>437</v>
      </c>
      <c r="F1" t="s">
        <v>138</v>
      </c>
    </row>
    <row r="2" spans="1:6" x14ac:dyDescent="0.25">
      <c r="A2">
        <v>62</v>
      </c>
    </row>
    <row r="3" spans="1:6" x14ac:dyDescent="0.25">
      <c r="A3">
        <v>87</v>
      </c>
    </row>
    <row r="4" spans="1:6" x14ac:dyDescent="0.25">
      <c r="A4">
        <v>90</v>
      </c>
    </row>
    <row r="5" spans="1:6" x14ac:dyDescent="0.25">
      <c r="A5">
        <v>80</v>
      </c>
    </row>
    <row r="6" spans="1:6" x14ac:dyDescent="0.25">
      <c r="A6">
        <v>54</v>
      </c>
    </row>
    <row r="7" spans="1:6" x14ac:dyDescent="0.25">
      <c r="A7">
        <v>86</v>
      </c>
    </row>
    <row r="8" spans="1:6" x14ac:dyDescent="0.25">
      <c r="A8">
        <v>66</v>
      </c>
    </row>
    <row r="9" spans="1:6" x14ac:dyDescent="0.25">
      <c r="A9">
        <v>47</v>
      </c>
    </row>
    <row r="10" spans="1:6" x14ac:dyDescent="0.25">
      <c r="A10">
        <v>71</v>
      </c>
    </row>
    <row r="11" spans="1:6" x14ac:dyDescent="0.25">
      <c r="A11">
        <v>52</v>
      </c>
    </row>
    <row r="12" spans="1:6" x14ac:dyDescent="0.25">
      <c r="A12">
        <v>49</v>
      </c>
    </row>
    <row r="13" spans="1:6" x14ac:dyDescent="0.25">
      <c r="A13">
        <v>22</v>
      </c>
    </row>
    <row r="14" spans="1:6" x14ac:dyDescent="0.25">
      <c r="A14">
        <v>52</v>
      </c>
    </row>
    <row r="15" spans="1:6" x14ac:dyDescent="0.25">
      <c r="A15">
        <v>86</v>
      </c>
    </row>
    <row r="16" spans="1:6" x14ac:dyDescent="0.25">
      <c r="A16">
        <v>56</v>
      </c>
    </row>
    <row r="17" spans="1:1" x14ac:dyDescent="0.25">
      <c r="A17">
        <v>78</v>
      </c>
    </row>
    <row r="18" spans="1:1" x14ac:dyDescent="0.25">
      <c r="A18">
        <v>62</v>
      </c>
    </row>
    <row r="19" spans="1:1" x14ac:dyDescent="0.25">
      <c r="A19">
        <v>36</v>
      </c>
    </row>
    <row r="20" spans="1:1" x14ac:dyDescent="0.25">
      <c r="A20">
        <v>15</v>
      </c>
    </row>
    <row r="21" spans="1:1" x14ac:dyDescent="0.25">
      <c r="A21">
        <v>47</v>
      </c>
    </row>
    <row r="22" spans="1:1" x14ac:dyDescent="0.25">
      <c r="A22">
        <v>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4"/>
  <sheetViews>
    <sheetView showGridLines="0" workbookViewId="0">
      <selection activeCell="G4" sqref="G4"/>
    </sheetView>
  </sheetViews>
  <sheetFormatPr defaultRowHeight="15" x14ac:dyDescent="0.25"/>
  <cols>
    <col min="2" max="2" width="10.140625" style="9" bestFit="1" customWidth="1"/>
  </cols>
  <sheetData>
    <row r="1" spans="1:7" x14ac:dyDescent="0.25">
      <c r="A1" s="2" t="s">
        <v>7</v>
      </c>
      <c r="B1" s="8" t="s">
        <v>9</v>
      </c>
      <c r="E1" s="7" t="s">
        <v>10</v>
      </c>
    </row>
    <row r="2" spans="1:7" x14ac:dyDescent="0.25">
      <c r="A2" s="3" t="s">
        <v>11</v>
      </c>
      <c r="B2" s="6">
        <v>20441</v>
      </c>
      <c r="C2" t="s">
        <v>137</v>
      </c>
    </row>
    <row r="3" spans="1:7" x14ac:dyDescent="0.25">
      <c r="A3" s="3" t="s">
        <v>12</v>
      </c>
      <c r="B3" s="6">
        <v>23249</v>
      </c>
      <c r="C3" t="s">
        <v>133</v>
      </c>
      <c r="F3" s="35" t="s">
        <v>67</v>
      </c>
      <c r="G3" s="35" t="s">
        <v>84</v>
      </c>
    </row>
    <row r="4" spans="1:7" x14ac:dyDescent="0.25">
      <c r="A4" s="3" t="s">
        <v>13</v>
      </c>
      <c r="B4" s="6">
        <v>17469</v>
      </c>
      <c r="C4" t="s">
        <v>135</v>
      </c>
      <c r="F4" s="3" t="s">
        <v>126</v>
      </c>
      <c r="G4" s="1">
        <f>COUNTIF($C$1:$C$76,F4)</f>
        <v>4</v>
      </c>
    </row>
    <row r="5" spans="1:7" x14ac:dyDescent="0.25">
      <c r="A5" s="3" t="s">
        <v>14</v>
      </c>
      <c r="B5" s="6">
        <v>25935</v>
      </c>
      <c r="C5" t="s">
        <v>126</v>
      </c>
      <c r="F5" s="3" t="s">
        <v>127</v>
      </c>
      <c r="G5" s="1">
        <f t="shared" ref="G5:G15" si="0">COUNTIF($C$1:$C$76,F5)</f>
        <v>6</v>
      </c>
    </row>
    <row r="6" spans="1:7" x14ac:dyDescent="0.25">
      <c r="A6" s="3" t="s">
        <v>15</v>
      </c>
      <c r="B6" s="6">
        <v>22643</v>
      </c>
      <c r="C6" t="s">
        <v>137</v>
      </c>
      <c r="F6" s="3" t="s">
        <v>128</v>
      </c>
      <c r="G6" s="1">
        <f t="shared" si="0"/>
        <v>6</v>
      </c>
    </row>
    <row r="7" spans="1:7" x14ac:dyDescent="0.25">
      <c r="A7" s="3" t="s">
        <v>16</v>
      </c>
      <c r="B7" s="6">
        <v>29144</v>
      </c>
      <c r="C7" t="s">
        <v>135</v>
      </c>
      <c r="F7" s="3" t="s">
        <v>129</v>
      </c>
      <c r="G7" s="1">
        <f t="shared" si="0"/>
        <v>5</v>
      </c>
    </row>
    <row r="8" spans="1:7" x14ac:dyDescent="0.25">
      <c r="A8" s="3" t="s">
        <v>17</v>
      </c>
      <c r="B8" s="6">
        <v>26025</v>
      </c>
      <c r="C8" t="s">
        <v>129</v>
      </c>
      <c r="F8" s="3" t="s">
        <v>130</v>
      </c>
      <c r="G8" s="1">
        <f t="shared" si="0"/>
        <v>7</v>
      </c>
    </row>
    <row r="9" spans="1:7" x14ac:dyDescent="0.25">
      <c r="A9" s="3" t="s">
        <v>18</v>
      </c>
      <c r="B9" s="6">
        <v>24420</v>
      </c>
      <c r="C9" t="s">
        <v>136</v>
      </c>
      <c r="F9" s="3" t="s">
        <v>131</v>
      </c>
      <c r="G9" s="1">
        <f t="shared" si="0"/>
        <v>4</v>
      </c>
    </row>
    <row r="10" spans="1:7" x14ac:dyDescent="0.25">
      <c r="A10" s="3" t="s">
        <v>19</v>
      </c>
      <c r="B10" s="6">
        <v>22596</v>
      </c>
      <c r="C10" t="s">
        <v>136</v>
      </c>
      <c r="F10" s="3" t="s">
        <v>132</v>
      </c>
      <c r="G10" s="1">
        <f t="shared" si="0"/>
        <v>7</v>
      </c>
    </row>
    <row r="11" spans="1:7" x14ac:dyDescent="0.25">
      <c r="A11" s="3" t="s">
        <v>20</v>
      </c>
      <c r="B11" s="6">
        <v>13755</v>
      </c>
      <c r="C11" t="s">
        <v>133</v>
      </c>
      <c r="F11" s="3" t="s">
        <v>133</v>
      </c>
      <c r="G11" s="1">
        <f t="shared" si="0"/>
        <v>7</v>
      </c>
    </row>
    <row r="12" spans="1:7" x14ac:dyDescent="0.25">
      <c r="A12" s="3" t="s">
        <v>21</v>
      </c>
      <c r="B12" s="6">
        <v>22784</v>
      </c>
      <c r="C12" t="s">
        <v>130</v>
      </c>
      <c r="F12" s="3" t="s">
        <v>134</v>
      </c>
      <c r="G12" s="1">
        <f t="shared" si="0"/>
        <v>6</v>
      </c>
    </row>
    <row r="13" spans="1:7" x14ac:dyDescent="0.25">
      <c r="A13" s="3" t="s">
        <v>21</v>
      </c>
      <c r="B13" s="6">
        <v>20756</v>
      </c>
      <c r="C13" t="s">
        <v>135</v>
      </c>
      <c r="F13" s="3" t="s">
        <v>135</v>
      </c>
      <c r="G13" s="1">
        <f t="shared" si="0"/>
        <v>13</v>
      </c>
    </row>
    <row r="14" spans="1:7" x14ac:dyDescent="0.25">
      <c r="A14" s="3" t="s">
        <v>21</v>
      </c>
      <c r="B14" s="6">
        <v>22860</v>
      </c>
      <c r="C14" t="s">
        <v>133</v>
      </c>
      <c r="F14" s="3" t="s">
        <v>136</v>
      </c>
      <c r="G14" s="1">
        <f t="shared" si="0"/>
        <v>2</v>
      </c>
    </row>
    <row r="15" spans="1:7" x14ac:dyDescent="0.25">
      <c r="A15" s="3" t="s">
        <v>22</v>
      </c>
      <c r="B15" s="6">
        <v>20638</v>
      </c>
      <c r="C15" t="s">
        <v>132</v>
      </c>
      <c r="F15" s="3" t="s">
        <v>137</v>
      </c>
      <c r="G15" s="1">
        <f t="shared" si="0"/>
        <v>8</v>
      </c>
    </row>
    <row r="16" spans="1:7" x14ac:dyDescent="0.25">
      <c r="A16" s="3" t="s">
        <v>23</v>
      </c>
      <c r="B16" s="6">
        <v>25633</v>
      </c>
      <c r="C16" t="s">
        <v>128</v>
      </c>
    </row>
    <row r="17" spans="1:3" x14ac:dyDescent="0.25">
      <c r="A17" s="3" t="s">
        <v>24</v>
      </c>
      <c r="B17" s="6">
        <v>22687</v>
      </c>
      <c r="C17" t="s">
        <v>127</v>
      </c>
    </row>
    <row r="18" spans="1:3" x14ac:dyDescent="0.25">
      <c r="A18" s="3" t="s">
        <v>24</v>
      </c>
      <c r="B18" s="6">
        <v>26379</v>
      </c>
      <c r="C18" t="s">
        <v>128</v>
      </c>
    </row>
    <row r="19" spans="1:3" x14ac:dyDescent="0.25">
      <c r="A19" s="3" t="s">
        <v>25</v>
      </c>
      <c r="B19" s="6">
        <v>23110</v>
      </c>
      <c r="C19" t="s">
        <v>129</v>
      </c>
    </row>
    <row r="20" spans="1:3" x14ac:dyDescent="0.25">
      <c r="A20" s="3" t="s">
        <v>26</v>
      </c>
      <c r="B20" s="6">
        <v>21435</v>
      </c>
      <c r="C20" t="s">
        <v>134</v>
      </c>
    </row>
    <row r="21" spans="1:3" x14ac:dyDescent="0.25">
      <c r="A21" s="3" t="s">
        <v>27</v>
      </c>
      <c r="B21" s="6">
        <v>26534</v>
      </c>
      <c r="C21" t="s">
        <v>133</v>
      </c>
    </row>
    <row r="22" spans="1:3" x14ac:dyDescent="0.25">
      <c r="A22" s="3" t="s">
        <v>28</v>
      </c>
      <c r="B22" s="6">
        <v>16559</v>
      </c>
      <c r="C22" t="s">
        <v>130</v>
      </c>
    </row>
    <row r="23" spans="1:3" x14ac:dyDescent="0.25">
      <c r="A23" s="3" t="s">
        <v>29</v>
      </c>
      <c r="B23" s="6">
        <v>21918</v>
      </c>
      <c r="C23" t="s">
        <v>126</v>
      </c>
    </row>
    <row r="24" spans="1:3" x14ac:dyDescent="0.25">
      <c r="A24" s="3" t="s">
        <v>30</v>
      </c>
      <c r="B24" s="6">
        <v>23400</v>
      </c>
      <c r="C24" t="s">
        <v>126</v>
      </c>
    </row>
    <row r="25" spans="1:3" x14ac:dyDescent="0.25">
      <c r="A25" s="3" t="s">
        <v>31</v>
      </c>
      <c r="B25" s="6">
        <v>11624</v>
      </c>
      <c r="C25" t="s">
        <v>135</v>
      </c>
    </row>
    <row r="26" spans="1:3" x14ac:dyDescent="0.25">
      <c r="A26" s="3" t="s">
        <v>32</v>
      </c>
      <c r="B26" s="6">
        <v>16109</v>
      </c>
      <c r="C26" t="s">
        <v>127</v>
      </c>
    </row>
    <row r="27" spans="1:3" x14ac:dyDescent="0.25">
      <c r="A27" s="3" t="s">
        <v>32</v>
      </c>
      <c r="B27" s="6">
        <v>14328</v>
      </c>
      <c r="C27" t="s">
        <v>128</v>
      </c>
    </row>
    <row r="28" spans="1:3" x14ac:dyDescent="0.25">
      <c r="A28" s="3" t="s">
        <v>33</v>
      </c>
      <c r="B28" s="6">
        <v>21395</v>
      </c>
      <c r="C28" t="s">
        <v>132</v>
      </c>
    </row>
    <row r="29" spans="1:3" x14ac:dyDescent="0.25">
      <c r="A29" s="3" t="s">
        <v>33</v>
      </c>
      <c r="B29" s="6">
        <v>26095</v>
      </c>
      <c r="C29" t="s">
        <v>131</v>
      </c>
    </row>
    <row r="30" spans="1:3" x14ac:dyDescent="0.25">
      <c r="A30" s="3" t="s">
        <v>34</v>
      </c>
      <c r="B30" s="6">
        <v>22124</v>
      </c>
      <c r="C30" t="s">
        <v>132</v>
      </c>
    </row>
    <row r="31" spans="1:3" x14ac:dyDescent="0.25">
      <c r="A31" s="3" t="s">
        <v>35</v>
      </c>
      <c r="B31" s="6">
        <v>19503</v>
      </c>
      <c r="C31" t="s">
        <v>130</v>
      </c>
    </row>
    <row r="32" spans="1:3" x14ac:dyDescent="0.25">
      <c r="A32" s="3" t="s">
        <v>36</v>
      </c>
      <c r="B32" s="6">
        <v>19757</v>
      </c>
      <c r="C32" t="s">
        <v>127</v>
      </c>
    </row>
    <row r="33" spans="1:3" x14ac:dyDescent="0.25">
      <c r="A33" s="3" t="s">
        <v>37</v>
      </c>
      <c r="B33" s="6">
        <v>12107</v>
      </c>
      <c r="C33" t="s">
        <v>127</v>
      </c>
    </row>
    <row r="34" spans="1:3" x14ac:dyDescent="0.25">
      <c r="A34" s="3" t="s">
        <v>37</v>
      </c>
      <c r="B34" s="6">
        <v>24022</v>
      </c>
      <c r="C34" t="s">
        <v>135</v>
      </c>
    </row>
    <row r="35" spans="1:3" x14ac:dyDescent="0.25">
      <c r="A35" s="3" t="s">
        <v>37</v>
      </c>
      <c r="B35" s="6">
        <v>26414</v>
      </c>
      <c r="C35" t="s">
        <v>129</v>
      </c>
    </row>
    <row r="36" spans="1:3" x14ac:dyDescent="0.25">
      <c r="A36" s="3" t="s">
        <v>38</v>
      </c>
      <c r="B36" s="6">
        <v>19882</v>
      </c>
      <c r="C36" t="s">
        <v>131</v>
      </c>
    </row>
    <row r="37" spans="1:3" x14ac:dyDescent="0.25">
      <c r="A37" s="3" t="s">
        <v>39</v>
      </c>
      <c r="B37" s="6">
        <v>25491</v>
      </c>
      <c r="C37" t="s">
        <v>135</v>
      </c>
    </row>
    <row r="38" spans="1:3" x14ac:dyDescent="0.25">
      <c r="A38" s="3" t="s">
        <v>40</v>
      </c>
      <c r="B38" s="6">
        <v>15530</v>
      </c>
      <c r="C38" t="s">
        <v>132</v>
      </c>
    </row>
    <row r="39" spans="1:3" x14ac:dyDescent="0.25">
      <c r="A39" s="3" t="s">
        <v>40</v>
      </c>
      <c r="B39" s="6">
        <v>25756</v>
      </c>
      <c r="C39" t="s">
        <v>132</v>
      </c>
    </row>
    <row r="40" spans="1:3" x14ac:dyDescent="0.25">
      <c r="A40" s="3" t="s">
        <v>41</v>
      </c>
      <c r="B40" s="6">
        <v>13149</v>
      </c>
      <c r="C40" t="s">
        <v>137</v>
      </c>
    </row>
    <row r="41" spans="1:3" x14ac:dyDescent="0.25">
      <c r="A41" s="3" t="s">
        <v>42</v>
      </c>
      <c r="B41" s="6">
        <v>25232</v>
      </c>
      <c r="C41" t="s">
        <v>126</v>
      </c>
    </row>
    <row r="42" spans="1:3" x14ac:dyDescent="0.25">
      <c r="A42" s="3" t="s">
        <v>43</v>
      </c>
      <c r="B42" s="6">
        <v>19118</v>
      </c>
      <c r="C42" t="s">
        <v>130</v>
      </c>
    </row>
    <row r="43" spans="1:3" x14ac:dyDescent="0.25">
      <c r="A43" s="3" t="s">
        <v>43</v>
      </c>
      <c r="B43" s="6">
        <v>20588</v>
      </c>
      <c r="C43" t="s">
        <v>130</v>
      </c>
    </row>
    <row r="44" spans="1:3" x14ac:dyDescent="0.25">
      <c r="A44" s="3" t="s">
        <v>44</v>
      </c>
      <c r="B44" s="6">
        <v>24253</v>
      </c>
      <c r="C44" t="s">
        <v>130</v>
      </c>
    </row>
    <row r="45" spans="1:3" x14ac:dyDescent="0.25">
      <c r="A45" s="3" t="s">
        <v>45</v>
      </c>
      <c r="B45" s="6">
        <v>23635</v>
      </c>
      <c r="C45" t="s">
        <v>134</v>
      </c>
    </row>
    <row r="46" spans="1:3" x14ac:dyDescent="0.25">
      <c r="A46" s="3" t="s">
        <v>46</v>
      </c>
      <c r="B46" s="6">
        <v>22200</v>
      </c>
      <c r="C46" t="s">
        <v>135</v>
      </c>
    </row>
    <row r="47" spans="1:3" x14ac:dyDescent="0.25">
      <c r="A47" s="3" t="s">
        <v>47</v>
      </c>
      <c r="B47" s="6">
        <v>17329</v>
      </c>
      <c r="C47" t="s">
        <v>131</v>
      </c>
    </row>
    <row r="48" spans="1:3" x14ac:dyDescent="0.25">
      <c r="A48" s="3" t="s">
        <v>48</v>
      </c>
      <c r="B48" s="6">
        <v>38215</v>
      </c>
      <c r="C48" t="s">
        <v>133</v>
      </c>
    </row>
    <row r="49" spans="1:3" x14ac:dyDescent="0.25">
      <c r="A49" s="3" t="s">
        <v>49</v>
      </c>
      <c r="B49" s="6">
        <v>19935</v>
      </c>
      <c r="C49" t="s">
        <v>132</v>
      </c>
    </row>
    <row r="50" spans="1:3" x14ac:dyDescent="0.25">
      <c r="A50" s="3" t="s">
        <v>50</v>
      </c>
      <c r="B50" s="6">
        <v>23374</v>
      </c>
      <c r="C50" t="s">
        <v>137</v>
      </c>
    </row>
    <row r="51" spans="1:3" x14ac:dyDescent="0.25">
      <c r="A51" s="3" t="s">
        <v>50</v>
      </c>
      <c r="B51" s="6">
        <v>16734</v>
      </c>
      <c r="C51" t="s">
        <v>135</v>
      </c>
    </row>
    <row r="52" spans="1:3" x14ac:dyDescent="0.25">
      <c r="A52" s="3" t="s">
        <v>51</v>
      </c>
      <c r="B52" s="6">
        <v>18074</v>
      </c>
      <c r="C52" t="s">
        <v>131</v>
      </c>
    </row>
    <row r="53" spans="1:3" x14ac:dyDescent="0.25">
      <c r="A53" s="3" t="s">
        <v>52</v>
      </c>
      <c r="B53" s="6">
        <v>12159</v>
      </c>
      <c r="C53" t="s">
        <v>129</v>
      </c>
    </row>
    <row r="54" spans="1:3" x14ac:dyDescent="0.25">
      <c r="A54" s="3" t="s">
        <v>53</v>
      </c>
      <c r="B54" s="6">
        <v>22997</v>
      </c>
      <c r="C54" t="s">
        <v>137</v>
      </c>
    </row>
    <row r="55" spans="1:3" x14ac:dyDescent="0.25">
      <c r="A55" s="3" t="s">
        <v>54</v>
      </c>
      <c r="B55" s="6">
        <v>20758</v>
      </c>
      <c r="C55" t="s">
        <v>135</v>
      </c>
    </row>
    <row r="56" spans="1:3" x14ac:dyDescent="0.25">
      <c r="A56" s="3" t="s">
        <v>54</v>
      </c>
      <c r="B56" s="6">
        <v>28793</v>
      </c>
      <c r="C56" t="s">
        <v>135</v>
      </c>
    </row>
    <row r="57" spans="1:3" x14ac:dyDescent="0.25">
      <c r="A57" s="3" t="s">
        <v>55</v>
      </c>
      <c r="B57" s="6">
        <v>21234</v>
      </c>
      <c r="C57" t="s">
        <v>127</v>
      </c>
    </row>
    <row r="58" spans="1:3" x14ac:dyDescent="0.25">
      <c r="A58" s="3" t="s">
        <v>56</v>
      </c>
      <c r="B58" s="6">
        <v>20704</v>
      </c>
      <c r="C58" t="s">
        <v>134</v>
      </c>
    </row>
    <row r="59" spans="1:3" x14ac:dyDescent="0.25">
      <c r="A59" s="3" t="s">
        <v>56</v>
      </c>
      <c r="B59" s="6">
        <v>22208</v>
      </c>
      <c r="C59" t="s">
        <v>135</v>
      </c>
    </row>
    <row r="60" spans="1:3" x14ac:dyDescent="0.25">
      <c r="A60" s="3" t="s">
        <v>57</v>
      </c>
      <c r="B60" s="6">
        <v>18376</v>
      </c>
      <c r="C60" t="s">
        <v>129</v>
      </c>
    </row>
    <row r="61" spans="1:3" x14ac:dyDescent="0.25">
      <c r="A61" s="3" t="s">
        <v>58</v>
      </c>
      <c r="B61" s="6">
        <v>20279</v>
      </c>
      <c r="C61" t="s">
        <v>132</v>
      </c>
    </row>
    <row r="62" spans="1:3" x14ac:dyDescent="0.25">
      <c r="A62" s="3" t="s">
        <v>58</v>
      </c>
      <c r="B62" s="6">
        <v>16152</v>
      </c>
      <c r="C62" t="s">
        <v>128</v>
      </c>
    </row>
    <row r="63" spans="1:3" x14ac:dyDescent="0.25">
      <c r="A63" s="3" t="s">
        <v>58</v>
      </c>
      <c r="B63" s="6">
        <v>22505</v>
      </c>
      <c r="C63" t="s">
        <v>133</v>
      </c>
    </row>
    <row r="64" spans="1:3" x14ac:dyDescent="0.25">
      <c r="A64" s="3" t="s">
        <v>58</v>
      </c>
      <c r="B64" s="6">
        <v>23977</v>
      </c>
      <c r="C64" t="s">
        <v>133</v>
      </c>
    </row>
    <row r="65" spans="1:3" x14ac:dyDescent="0.25">
      <c r="A65" s="3" t="s">
        <v>59</v>
      </c>
      <c r="B65" s="6">
        <v>22943</v>
      </c>
      <c r="C65" t="s">
        <v>135</v>
      </c>
    </row>
    <row r="66" spans="1:3" x14ac:dyDescent="0.25">
      <c r="A66" s="3" t="s">
        <v>59</v>
      </c>
      <c r="B66" s="6">
        <v>18686</v>
      </c>
      <c r="C66" t="s">
        <v>127</v>
      </c>
    </row>
    <row r="67" spans="1:3" x14ac:dyDescent="0.25">
      <c r="A67" s="3" t="s">
        <v>60</v>
      </c>
      <c r="B67" s="6">
        <v>16407</v>
      </c>
      <c r="C67" t="s">
        <v>137</v>
      </c>
    </row>
    <row r="68" spans="1:3" x14ac:dyDescent="0.25">
      <c r="A68" s="3" t="s">
        <v>61</v>
      </c>
      <c r="B68" s="6">
        <v>21249</v>
      </c>
      <c r="C68" t="s">
        <v>128</v>
      </c>
    </row>
    <row r="69" spans="1:3" x14ac:dyDescent="0.25">
      <c r="A69" s="3" t="s">
        <v>62</v>
      </c>
      <c r="B69" s="6">
        <v>18907</v>
      </c>
      <c r="C69" t="s">
        <v>135</v>
      </c>
    </row>
    <row r="70" spans="1:3" x14ac:dyDescent="0.25">
      <c r="A70" s="3" t="s">
        <v>63</v>
      </c>
      <c r="B70" s="6">
        <v>17880</v>
      </c>
      <c r="C70" t="s">
        <v>137</v>
      </c>
    </row>
    <row r="71" spans="1:3" x14ac:dyDescent="0.25">
      <c r="A71" s="3" t="s">
        <v>63</v>
      </c>
      <c r="B71" s="6">
        <v>19811</v>
      </c>
      <c r="C71" t="s">
        <v>128</v>
      </c>
    </row>
    <row r="72" spans="1:3" x14ac:dyDescent="0.25">
      <c r="A72" s="3" t="s">
        <v>64</v>
      </c>
      <c r="B72" s="6">
        <v>27288</v>
      </c>
      <c r="C72" t="s">
        <v>134</v>
      </c>
    </row>
    <row r="73" spans="1:3" x14ac:dyDescent="0.25">
      <c r="A73" s="3" t="s">
        <v>64</v>
      </c>
      <c r="B73" s="6">
        <v>19495</v>
      </c>
      <c r="C73" t="s">
        <v>130</v>
      </c>
    </row>
    <row r="74" spans="1:3" x14ac:dyDescent="0.25">
      <c r="A74" s="3" t="s">
        <v>65</v>
      </c>
      <c r="B74" s="6">
        <v>21899</v>
      </c>
      <c r="C74" t="s">
        <v>137</v>
      </c>
    </row>
    <row r="75" spans="1:3" x14ac:dyDescent="0.25">
      <c r="A75" s="3" t="s">
        <v>66</v>
      </c>
      <c r="B75" s="6">
        <v>22171</v>
      </c>
      <c r="C75" t="s">
        <v>134</v>
      </c>
    </row>
    <row r="76" spans="1:3" x14ac:dyDescent="0.25">
      <c r="A76" s="3" t="s">
        <v>66</v>
      </c>
      <c r="B76" s="6">
        <v>22175</v>
      </c>
      <c r="C76" t="s">
        <v>134</v>
      </c>
    </row>
    <row r="78" spans="1:3" x14ac:dyDescent="0.25">
      <c r="B78" s="9" t="s">
        <v>67</v>
      </c>
    </row>
    <row r="79" spans="1:3" x14ac:dyDescent="0.25">
      <c r="B79" s="9">
        <v>1</v>
      </c>
    </row>
    <row r="80" spans="1:3" x14ac:dyDescent="0.25">
      <c r="B80" s="9">
        <v>2</v>
      </c>
    </row>
    <row r="81" spans="1:2" x14ac:dyDescent="0.25">
      <c r="B81" s="9">
        <v>3</v>
      </c>
    </row>
    <row r="82" spans="1:2" x14ac:dyDescent="0.25">
      <c r="B82" s="9">
        <v>4</v>
      </c>
    </row>
    <row r="83" spans="1:2" x14ac:dyDescent="0.25">
      <c r="B83" s="9">
        <v>5</v>
      </c>
    </row>
    <row r="84" spans="1:2" x14ac:dyDescent="0.25">
      <c r="B84" s="9">
        <v>6</v>
      </c>
    </row>
    <row r="85" spans="1:2" x14ac:dyDescent="0.25">
      <c r="B85" s="9">
        <v>7</v>
      </c>
    </row>
    <row r="86" spans="1:2" x14ac:dyDescent="0.25">
      <c r="B86" s="9">
        <v>8</v>
      </c>
    </row>
    <row r="87" spans="1:2" x14ac:dyDescent="0.25">
      <c r="B87" s="9">
        <v>9</v>
      </c>
    </row>
    <row r="88" spans="1:2" x14ac:dyDescent="0.25">
      <c r="B88" s="9">
        <v>10</v>
      </c>
    </row>
    <row r="89" spans="1:2" x14ac:dyDescent="0.25">
      <c r="B89" s="9">
        <v>11</v>
      </c>
    </row>
    <row r="90" spans="1:2" x14ac:dyDescent="0.25">
      <c r="B90" s="9">
        <v>12</v>
      </c>
    </row>
    <row r="94" spans="1:2" x14ac:dyDescent="0.25">
      <c r="A94" t="s">
        <v>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46766-32B5-48A0-B1F5-2022074434DE}">
  <dimension ref="A1:O22"/>
  <sheetViews>
    <sheetView topLeftCell="A4" workbookViewId="0">
      <selection activeCell="I9" sqref="I9"/>
    </sheetView>
  </sheetViews>
  <sheetFormatPr defaultRowHeight="15" x14ac:dyDescent="0.25"/>
  <cols>
    <col min="2" max="2" width="10.140625" bestFit="1" customWidth="1"/>
    <col min="4" max="4" width="11.28515625" bestFit="1" customWidth="1"/>
    <col min="5" max="5" width="12.28515625" bestFit="1" customWidth="1"/>
    <col min="6" max="6" width="14.28515625" bestFit="1" customWidth="1"/>
    <col min="8" max="8" width="14" bestFit="1" customWidth="1"/>
    <col min="10" max="10" width="14" bestFit="1" customWidth="1"/>
    <col min="14" max="14" width="7.85546875" bestFit="1" customWidth="1"/>
    <col min="15" max="15" width="13.5703125" bestFit="1" customWidth="1"/>
    <col min="258" max="258" width="10.140625" bestFit="1" customWidth="1"/>
    <col min="260" max="260" width="11.28515625" bestFit="1" customWidth="1"/>
    <col min="261" max="261" width="12.28515625" bestFit="1" customWidth="1"/>
    <col min="262" max="262" width="14.28515625" bestFit="1" customWidth="1"/>
    <col min="264" max="264" width="14" bestFit="1" customWidth="1"/>
    <col min="266" max="266" width="14" bestFit="1" customWidth="1"/>
    <col min="270" max="270" width="7.85546875" bestFit="1" customWidth="1"/>
    <col min="271" max="271" width="13.5703125" bestFit="1" customWidth="1"/>
    <col min="514" max="514" width="10.140625" bestFit="1" customWidth="1"/>
    <col min="516" max="516" width="11.28515625" bestFit="1" customWidth="1"/>
    <col min="517" max="517" width="12.28515625" bestFit="1" customWidth="1"/>
    <col min="518" max="518" width="14.28515625" bestFit="1" customWidth="1"/>
    <col min="520" max="520" width="14" bestFit="1" customWidth="1"/>
    <col min="522" max="522" width="14" bestFit="1" customWidth="1"/>
    <col min="526" max="526" width="7.85546875" bestFit="1" customWidth="1"/>
    <col min="527" max="527" width="13.5703125" bestFit="1" customWidth="1"/>
    <col min="770" max="770" width="10.140625" bestFit="1" customWidth="1"/>
    <col min="772" max="772" width="11.28515625" bestFit="1" customWidth="1"/>
    <col min="773" max="773" width="12.28515625" bestFit="1" customWidth="1"/>
    <col min="774" max="774" width="14.28515625" bestFit="1" customWidth="1"/>
    <col min="776" max="776" width="14" bestFit="1" customWidth="1"/>
    <col min="778" max="778" width="14" bestFit="1" customWidth="1"/>
    <col min="782" max="782" width="7.85546875" bestFit="1" customWidth="1"/>
    <col min="783" max="783" width="13.5703125" bestFit="1" customWidth="1"/>
    <col min="1026" max="1026" width="10.140625" bestFit="1" customWidth="1"/>
    <col min="1028" max="1028" width="11.28515625" bestFit="1" customWidth="1"/>
    <col min="1029" max="1029" width="12.28515625" bestFit="1" customWidth="1"/>
    <col min="1030" max="1030" width="14.28515625" bestFit="1" customWidth="1"/>
    <col min="1032" max="1032" width="14" bestFit="1" customWidth="1"/>
    <col min="1034" max="1034" width="14" bestFit="1" customWidth="1"/>
    <col min="1038" max="1038" width="7.85546875" bestFit="1" customWidth="1"/>
    <col min="1039" max="1039" width="13.5703125" bestFit="1" customWidth="1"/>
    <col min="1282" max="1282" width="10.140625" bestFit="1" customWidth="1"/>
    <col min="1284" max="1284" width="11.28515625" bestFit="1" customWidth="1"/>
    <col min="1285" max="1285" width="12.28515625" bestFit="1" customWidth="1"/>
    <col min="1286" max="1286" width="14.28515625" bestFit="1" customWidth="1"/>
    <col min="1288" max="1288" width="14" bestFit="1" customWidth="1"/>
    <col min="1290" max="1290" width="14" bestFit="1" customWidth="1"/>
    <col min="1294" max="1294" width="7.85546875" bestFit="1" customWidth="1"/>
    <col min="1295" max="1295" width="13.5703125" bestFit="1" customWidth="1"/>
    <col min="1538" max="1538" width="10.140625" bestFit="1" customWidth="1"/>
    <col min="1540" max="1540" width="11.28515625" bestFit="1" customWidth="1"/>
    <col min="1541" max="1541" width="12.28515625" bestFit="1" customWidth="1"/>
    <col min="1542" max="1542" width="14.28515625" bestFit="1" customWidth="1"/>
    <col min="1544" max="1544" width="14" bestFit="1" customWidth="1"/>
    <col min="1546" max="1546" width="14" bestFit="1" customWidth="1"/>
    <col min="1550" max="1550" width="7.85546875" bestFit="1" customWidth="1"/>
    <col min="1551" max="1551" width="13.5703125" bestFit="1" customWidth="1"/>
    <col min="1794" max="1794" width="10.140625" bestFit="1" customWidth="1"/>
    <col min="1796" max="1796" width="11.28515625" bestFit="1" customWidth="1"/>
    <col min="1797" max="1797" width="12.28515625" bestFit="1" customWidth="1"/>
    <col min="1798" max="1798" width="14.28515625" bestFit="1" customWidth="1"/>
    <col min="1800" max="1800" width="14" bestFit="1" customWidth="1"/>
    <col min="1802" max="1802" width="14" bestFit="1" customWidth="1"/>
    <col min="1806" max="1806" width="7.85546875" bestFit="1" customWidth="1"/>
    <col min="1807" max="1807" width="13.5703125" bestFit="1" customWidth="1"/>
    <col min="2050" max="2050" width="10.140625" bestFit="1" customWidth="1"/>
    <col min="2052" max="2052" width="11.28515625" bestFit="1" customWidth="1"/>
    <col min="2053" max="2053" width="12.28515625" bestFit="1" customWidth="1"/>
    <col min="2054" max="2054" width="14.28515625" bestFit="1" customWidth="1"/>
    <col min="2056" max="2056" width="14" bestFit="1" customWidth="1"/>
    <col min="2058" max="2058" width="14" bestFit="1" customWidth="1"/>
    <col min="2062" max="2062" width="7.85546875" bestFit="1" customWidth="1"/>
    <col min="2063" max="2063" width="13.5703125" bestFit="1" customWidth="1"/>
    <col min="2306" max="2306" width="10.140625" bestFit="1" customWidth="1"/>
    <col min="2308" max="2308" width="11.28515625" bestFit="1" customWidth="1"/>
    <col min="2309" max="2309" width="12.28515625" bestFit="1" customWidth="1"/>
    <col min="2310" max="2310" width="14.28515625" bestFit="1" customWidth="1"/>
    <col min="2312" max="2312" width="14" bestFit="1" customWidth="1"/>
    <col min="2314" max="2314" width="14" bestFit="1" customWidth="1"/>
    <col min="2318" max="2318" width="7.85546875" bestFit="1" customWidth="1"/>
    <col min="2319" max="2319" width="13.5703125" bestFit="1" customWidth="1"/>
    <col min="2562" max="2562" width="10.140625" bestFit="1" customWidth="1"/>
    <col min="2564" max="2564" width="11.28515625" bestFit="1" customWidth="1"/>
    <col min="2565" max="2565" width="12.28515625" bestFit="1" customWidth="1"/>
    <col min="2566" max="2566" width="14.28515625" bestFit="1" customWidth="1"/>
    <col min="2568" max="2568" width="14" bestFit="1" customWidth="1"/>
    <col min="2570" max="2570" width="14" bestFit="1" customWidth="1"/>
    <col min="2574" max="2574" width="7.85546875" bestFit="1" customWidth="1"/>
    <col min="2575" max="2575" width="13.5703125" bestFit="1" customWidth="1"/>
    <col min="2818" max="2818" width="10.140625" bestFit="1" customWidth="1"/>
    <col min="2820" max="2820" width="11.28515625" bestFit="1" customWidth="1"/>
    <col min="2821" max="2821" width="12.28515625" bestFit="1" customWidth="1"/>
    <col min="2822" max="2822" width="14.28515625" bestFit="1" customWidth="1"/>
    <col min="2824" max="2824" width="14" bestFit="1" customWidth="1"/>
    <col min="2826" max="2826" width="14" bestFit="1" customWidth="1"/>
    <col min="2830" max="2830" width="7.85546875" bestFit="1" customWidth="1"/>
    <col min="2831" max="2831" width="13.5703125" bestFit="1" customWidth="1"/>
    <col min="3074" max="3074" width="10.140625" bestFit="1" customWidth="1"/>
    <col min="3076" max="3076" width="11.28515625" bestFit="1" customWidth="1"/>
    <col min="3077" max="3077" width="12.28515625" bestFit="1" customWidth="1"/>
    <col min="3078" max="3078" width="14.28515625" bestFit="1" customWidth="1"/>
    <col min="3080" max="3080" width="14" bestFit="1" customWidth="1"/>
    <col min="3082" max="3082" width="14" bestFit="1" customWidth="1"/>
    <col min="3086" max="3086" width="7.85546875" bestFit="1" customWidth="1"/>
    <col min="3087" max="3087" width="13.5703125" bestFit="1" customWidth="1"/>
    <col min="3330" max="3330" width="10.140625" bestFit="1" customWidth="1"/>
    <col min="3332" max="3332" width="11.28515625" bestFit="1" customWidth="1"/>
    <col min="3333" max="3333" width="12.28515625" bestFit="1" customWidth="1"/>
    <col min="3334" max="3334" width="14.28515625" bestFit="1" customWidth="1"/>
    <col min="3336" max="3336" width="14" bestFit="1" customWidth="1"/>
    <col min="3338" max="3338" width="14" bestFit="1" customWidth="1"/>
    <col min="3342" max="3342" width="7.85546875" bestFit="1" customWidth="1"/>
    <col min="3343" max="3343" width="13.5703125" bestFit="1" customWidth="1"/>
    <col min="3586" max="3586" width="10.140625" bestFit="1" customWidth="1"/>
    <col min="3588" max="3588" width="11.28515625" bestFit="1" customWidth="1"/>
    <col min="3589" max="3589" width="12.28515625" bestFit="1" customWidth="1"/>
    <col min="3590" max="3590" width="14.28515625" bestFit="1" customWidth="1"/>
    <col min="3592" max="3592" width="14" bestFit="1" customWidth="1"/>
    <col min="3594" max="3594" width="14" bestFit="1" customWidth="1"/>
    <col min="3598" max="3598" width="7.85546875" bestFit="1" customWidth="1"/>
    <col min="3599" max="3599" width="13.5703125" bestFit="1" customWidth="1"/>
    <col min="3842" max="3842" width="10.140625" bestFit="1" customWidth="1"/>
    <col min="3844" max="3844" width="11.28515625" bestFit="1" customWidth="1"/>
    <col min="3845" max="3845" width="12.28515625" bestFit="1" customWidth="1"/>
    <col min="3846" max="3846" width="14.28515625" bestFit="1" customWidth="1"/>
    <col min="3848" max="3848" width="14" bestFit="1" customWidth="1"/>
    <col min="3850" max="3850" width="14" bestFit="1" customWidth="1"/>
    <col min="3854" max="3854" width="7.85546875" bestFit="1" customWidth="1"/>
    <col min="3855" max="3855" width="13.5703125" bestFit="1" customWidth="1"/>
    <col min="4098" max="4098" width="10.140625" bestFit="1" customWidth="1"/>
    <col min="4100" max="4100" width="11.28515625" bestFit="1" customWidth="1"/>
    <col min="4101" max="4101" width="12.28515625" bestFit="1" customWidth="1"/>
    <col min="4102" max="4102" width="14.28515625" bestFit="1" customWidth="1"/>
    <col min="4104" max="4104" width="14" bestFit="1" customWidth="1"/>
    <col min="4106" max="4106" width="14" bestFit="1" customWidth="1"/>
    <col min="4110" max="4110" width="7.85546875" bestFit="1" customWidth="1"/>
    <col min="4111" max="4111" width="13.5703125" bestFit="1" customWidth="1"/>
    <col min="4354" max="4354" width="10.140625" bestFit="1" customWidth="1"/>
    <col min="4356" max="4356" width="11.28515625" bestFit="1" customWidth="1"/>
    <col min="4357" max="4357" width="12.28515625" bestFit="1" customWidth="1"/>
    <col min="4358" max="4358" width="14.28515625" bestFit="1" customWidth="1"/>
    <col min="4360" max="4360" width="14" bestFit="1" customWidth="1"/>
    <col min="4362" max="4362" width="14" bestFit="1" customWidth="1"/>
    <col min="4366" max="4366" width="7.85546875" bestFit="1" customWidth="1"/>
    <col min="4367" max="4367" width="13.5703125" bestFit="1" customWidth="1"/>
    <col min="4610" max="4610" width="10.140625" bestFit="1" customWidth="1"/>
    <col min="4612" max="4612" width="11.28515625" bestFit="1" customWidth="1"/>
    <col min="4613" max="4613" width="12.28515625" bestFit="1" customWidth="1"/>
    <col min="4614" max="4614" width="14.28515625" bestFit="1" customWidth="1"/>
    <col min="4616" max="4616" width="14" bestFit="1" customWidth="1"/>
    <col min="4618" max="4618" width="14" bestFit="1" customWidth="1"/>
    <col min="4622" max="4622" width="7.85546875" bestFit="1" customWidth="1"/>
    <col min="4623" max="4623" width="13.5703125" bestFit="1" customWidth="1"/>
    <col min="4866" max="4866" width="10.140625" bestFit="1" customWidth="1"/>
    <col min="4868" max="4868" width="11.28515625" bestFit="1" customWidth="1"/>
    <col min="4869" max="4869" width="12.28515625" bestFit="1" customWidth="1"/>
    <col min="4870" max="4870" width="14.28515625" bestFit="1" customWidth="1"/>
    <col min="4872" max="4872" width="14" bestFit="1" customWidth="1"/>
    <col min="4874" max="4874" width="14" bestFit="1" customWidth="1"/>
    <col min="4878" max="4878" width="7.85546875" bestFit="1" customWidth="1"/>
    <col min="4879" max="4879" width="13.5703125" bestFit="1" customWidth="1"/>
    <col min="5122" max="5122" width="10.140625" bestFit="1" customWidth="1"/>
    <col min="5124" max="5124" width="11.28515625" bestFit="1" customWidth="1"/>
    <col min="5125" max="5125" width="12.28515625" bestFit="1" customWidth="1"/>
    <col min="5126" max="5126" width="14.28515625" bestFit="1" customWidth="1"/>
    <col min="5128" max="5128" width="14" bestFit="1" customWidth="1"/>
    <col min="5130" max="5130" width="14" bestFit="1" customWidth="1"/>
    <col min="5134" max="5134" width="7.85546875" bestFit="1" customWidth="1"/>
    <col min="5135" max="5135" width="13.5703125" bestFit="1" customWidth="1"/>
    <col min="5378" max="5378" width="10.140625" bestFit="1" customWidth="1"/>
    <col min="5380" max="5380" width="11.28515625" bestFit="1" customWidth="1"/>
    <col min="5381" max="5381" width="12.28515625" bestFit="1" customWidth="1"/>
    <col min="5382" max="5382" width="14.28515625" bestFit="1" customWidth="1"/>
    <col min="5384" max="5384" width="14" bestFit="1" customWidth="1"/>
    <col min="5386" max="5386" width="14" bestFit="1" customWidth="1"/>
    <col min="5390" max="5390" width="7.85546875" bestFit="1" customWidth="1"/>
    <col min="5391" max="5391" width="13.5703125" bestFit="1" customWidth="1"/>
    <col min="5634" max="5634" width="10.140625" bestFit="1" customWidth="1"/>
    <col min="5636" max="5636" width="11.28515625" bestFit="1" customWidth="1"/>
    <col min="5637" max="5637" width="12.28515625" bestFit="1" customWidth="1"/>
    <col min="5638" max="5638" width="14.28515625" bestFit="1" customWidth="1"/>
    <col min="5640" max="5640" width="14" bestFit="1" customWidth="1"/>
    <col min="5642" max="5642" width="14" bestFit="1" customWidth="1"/>
    <col min="5646" max="5646" width="7.85546875" bestFit="1" customWidth="1"/>
    <col min="5647" max="5647" width="13.5703125" bestFit="1" customWidth="1"/>
    <col min="5890" max="5890" width="10.140625" bestFit="1" customWidth="1"/>
    <col min="5892" max="5892" width="11.28515625" bestFit="1" customWidth="1"/>
    <col min="5893" max="5893" width="12.28515625" bestFit="1" customWidth="1"/>
    <col min="5894" max="5894" width="14.28515625" bestFit="1" customWidth="1"/>
    <col min="5896" max="5896" width="14" bestFit="1" customWidth="1"/>
    <col min="5898" max="5898" width="14" bestFit="1" customWidth="1"/>
    <col min="5902" max="5902" width="7.85546875" bestFit="1" customWidth="1"/>
    <col min="5903" max="5903" width="13.5703125" bestFit="1" customWidth="1"/>
    <col min="6146" max="6146" width="10.140625" bestFit="1" customWidth="1"/>
    <col min="6148" max="6148" width="11.28515625" bestFit="1" customWidth="1"/>
    <col min="6149" max="6149" width="12.28515625" bestFit="1" customWidth="1"/>
    <col min="6150" max="6150" width="14.28515625" bestFit="1" customWidth="1"/>
    <col min="6152" max="6152" width="14" bestFit="1" customWidth="1"/>
    <col min="6154" max="6154" width="14" bestFit="1" customWidth="1"/>
    <col min="6158" max="6158" width="7.85546875" bestFit="1" customWidth="1"/>
    <col min="6159" max="6159" width="13.5703125" bestFit="1" customWidth="1"/>
    <col min="6402" max="6402" width="10.140625" bestFit="1" customWidth="1"/>
    <col min="6404" max="6404" width="11.28515625" bestFit="1" customWidth="1"/>
    <col min="6405" max="6405" width="12.28515625" bestFit="1" customWidth="1"/>
    <col min="6406" max="6406" width="14.28515625" bestFit="1" customWidth="1"/>
    <col min="6408" max="6408" width="14" bestFit="1" customWidth="1"/>
    <col min="6410" max="6410" width="14" bestFit="1" customWidth="1"/>
    <col min="6414" max="6414" width="7.85546875" bestFit="1" customWidth="1"/>
    <col min="6415" max="6415" width="13.5703125" bestFit="1" customWidth="1"/>
    <col min="6658" max="6658" width="10.140625" bestFit="1" customWidth="1"/>
    <col min="6660" max="6660" width="11.28515625" bestFit="1" customWidth="1"/>
    <col min="6661" max="6661" width="12.28515625" bestFit="1" customWidth="1"/>
    <col min="6662" max="6662" width="14.28515625" bestFit="1" customWidth="1"/>
    <col min="6664" max="6664" width="14" bestFit="1" customWidth="1"/>
    <col min="6666" max="6666" width="14" bestFit="1" customWidth="1"/>
    <col min="6670" max="6670" width="7.85546875" bestFit="1" customWidth="1"/>
    <col min="6671" max="6671" width="13.5703125" bestFit="1" customWidth="1"/>
    <col min="6914" max="6914" width="10.140625" bestFit="1" customWidth="1"/>
    <col min="6916" max="6916" width="11.28515625" bestFit="1" customWidth="1"/>
    <col min="6917" max="6917" width="12.28515625" bestFit="1" customWidth="1"/>
    <col min="6918" max="6918" width="14.28515625" bestFit="1" customWidth="1"/>
    <col min="6920" max="6920" width="14" bestFit="1" customWidth="1"/>
    <col min="6922" max="6922" width="14" bestFit="1" customWidth="1"/>
    <col min="6926" max="6926" width="7.85546875" bestFit="1" customWidth="1"/>
    <col min="6927" max="6927" width="13.5703125" bestFit="1" customWidth="1"/>
    <col min="7170" max="7170" width="10.140625" bestFit="1" customWidth="1"/>
    <col min="7172" max="7172" width="11.28515625" bestFit="1" customWidth="1"/>
    <col min="7173" max="7173" width="12.28515625" bestFit="1" customWidth="1"/>
    <col min="7174" max="7174" width="14.28515625" bestFit="1" customWidth="1"/>
    <col min="7176" max="7176" width="14" bestFit="1" customWidth="1"/>
    <col min="7178" max="7178" width="14" bestFit="1" customWidth="1"/>
    <col min="7182" max="7182" width="7.85546875" bestFit="1" customWidth="1"/>
    <col min="7183" max="7183" width="13.5703125" bestFit="1" customWidth="1"/>
    <col min="7426" max="7426" width="10.140625" bestFit="1" customWidth="1"/>
    <col min="7428" max="7428" width="11.28515625" bestFit="1" customWidth="1"/>
    <col min="7429" max="7429" width="12.28515625" bestFit="1" customWidth="1"/>
    <col min="7430" max="7430" width="14.28515625" bestFit="1" customWidth="1"/>
    <col min="7432" max="7432" width="14" bestFit="1" customWidth="1"/>
    <col min="7434" max="7434" width="14" bestFit="1" customWidth="1"/>
    <col min="7438" max="7438" width="7.85546875" bestFit="1" customWidth="1"/>
    <col min="7439" max="7439" width="13.5703125" bestFit="1" customWidth="1"/>
    <col min="7682" max="7682" width="10.140625" bestFit="1" customWidth="1"/>
    <col min="7684" max="7684" width="11.28515625" bestFit="1" customWidth="1"/>
    <col min="7685" max="7685" width="12.28515625" bestFit="1" customWidth="1"/>
    <col min="7686" max="7686" width="14.28515625" bestFit="1" customWidth="1"/>
    <col min="7688" max="7688" width="14" bestFit="1" customWidth="1"/>
    <col min="7690" max="7690" width="14" bestFit="1" customWidth="1"/>
    <col min="7694" max="7694" width="7.85546875" bestFit="1" customWidth="1"/>
    <col min="7695" max="7695" width="13.5703125" bestFit="1" customWidth="1"/>
    <col min="7938" max="7938" width="10.140625" bestFit="1" customWidth="1"/>
    <col min="7940" max="7940" width="11.28515625" bestFit="1" customWidth="1"/>
    <col min="7941" max="7941" width="12.28515625" bestFit="1" customWidth="1"/>
    <col min="7942" max="7942" width="14.28515625" bestFit="1" customWidth="1"/>
    <col min="7944" max="7944" width="14" bestFit="1" customWidth="1"/>
    <col min="7946" max="7946" width="14" bestFit="1" customWidth="1"/>
    <col min="7950" max="7950" width="7.85546875" bestFit="1" customWidth="1"/>
    <col min="7951" max="7951" width="13.5703125" bestFit="1" customWidth="1"/>
    <col min="8194" max="8194" width="10.140625" bestFit="1" customWidth="1"/>
    <col min="8196" max="8196" width="11.28515625" bestFit="1" customWidth="1"/>
    <col min="8197" max="8197" width="12.28515625" bestFit="1" customWidth="1"/>
    <col min="8198" max="8198" width="14.28515625" bestFit="1" customWidth="1"/>
    <col min="8200" max="8200" width="14" bestFit="1" customWidth="1"/>
    <col min="8202" max="8202" width="14" bestFit="1" customWidth="1"/>
    <col min="8206" max="8206" width="7.85546875" bestFit="1" customWidth="1"/>
    <col min="8207" max="8207" width="13.5703125" bestFit="1" customWidth="1"/>
    <col min="8450" max="8450" width="10.140625" bestFit="1" customWidth="1"/>
    <col min="8452" max="8452" width="11.28515625" bestFit="1" customWidth="1"/>
    <col min="8453" max="8453" width="12.28515625" bestFit="1" customWidth="1"/>
    <col min="8454" max="8454" width="14.28515625" bestFit="1" customWidth="1"/>
    <col min="8456" max="8456" width="14" bestFit="1" customWidth="1"/>
    <col min="8458" max="8458" width="14" bestFit="1" customWidth="1"/>
    <col min="8462" max="8462" width="7.85546875" bestFit="1" customWidth="1"/>
    <col min="8463" max="8463" width="13.5703125" bestFit="1" customWidth="1"/>
    <col min="8706" max="8706" width="10.140625" bestFit="1" customWidth="1"/>
    <col min="8708" max="8708" width="11.28515625" bestFit="1" customWidth="1"/>
    <col min="8709" max="8709" width="12.28515625" bestFit="1" customWidth="1"/>
    <col min="8710" max="8710" width="14.28515625" bestFit="1" customWidth="1"/>
    <col min="8712" max="8712" width="14" bestFit="1" customWidth="1"/>
    <col min="8714" max="8714" width="14" bestFit="1" customWidth="1"/>
    <col min="8718" max="8718" width="7.85546875" bestFit="1" customWidth="1"/>
    <col min="8719" max="8719" width="13.5703125" bestFit="1" customWidth="1"/>
    <col min="8962" max="8962" width="10.140625" bestFit="1" customWidth="1"/>
    <col min="8964" max="8964" width="11.28515625" bestFit="1" customWidth="1"/>
    <col min="8965" max="8965" width="12.28515625" bestFit="1" customWidth="1"/>
    <col min="8966" max="8966" width="14.28515625" bestFit="1" customWidth="1"/>
    <col min="8968" max="8968" width="14" bestFit="1" customWidth="1"/>
    <col min="8970" max="8970" width="14" bestFit="1" customWidth="1"/>
    <col min="8974" max="8974" width="7.85546875" bestFit="1" customWidth="1"/>
    <col min="8975" max="8975" width="13.5703125" bestFit="1" customWidth="1"/>
    <col min="9218" max="9218" width="10.140625" bestFit="1" customWidth="1"/>
    <col min="9220" max="9220" width="11.28515625" bestFit="1" customWidth="1"/>
    <col min="9221" max="9221" width="12.28515625" bestFit="1" customWidth="1"/>
    <col min="9222" max="9222" width="14.28515625" bestFit="1" customWidth="1"/>
    <col min="9224" max="9224" width="14" bestFit="1" customWidth="1"/>
    <col min="9226" max="9226" width="14" bestFit="1" customWidth="1"/>
    <col min="9230" max="9230" width="7.85546875" bestFit="1" customWidth="1"/>
    <col min="9231" max="9231" width="13.5703125" bestFit="1" customWidth="1"/>
    <col min="9474" max="9474" width="10.140625" bestFit="1" customWidth="1"/>
    <col min="9476" max="9476" width="11.28515625" bestFit="1" customWidth="1"/>
    <col min="9477" max="9477" width="12.28515625" bestFit="1" customWidth="1"/>
    <col min="9478" max="9478" width="14.28515625" bestFit="1" customWidth="1"/>
    <col min="9480" max="9480" width="14" bestFit="1" customWidth="1"/>
    <col min="9482" max="9482" width="14" bestFit="1" customWidth="1"/>
    <col min="9486" max="9486" width="7.85546875" bestFit="1" customWidth="1"/>
    <col min="9487" max="9487" width="13.5703125" bestFit="1" customWidth="1"/>
    <col min="9730" max="9730" width="10.140625" bestFit="1" customWidth="1"/>
    <col min="9732" max="9732" width="11.28515625" bestFit="1" customWidth="1"/>
    <col min="9733" max="9733" width="12.28515625" bestFit="1" customWidth="1"/>
    <col min="9734" max="9734" width="14.28515625" bestFit="1" customWidth="1"/>
    <col min="9736" max="9736" width="14" bestFit="1" customWidth="1"/>
    <col min="9738" max="9738" width="14" bestFit="1" customWidth="1"/>
    <col min="9742" max="9742" width="7.85546875" bestFit="1" customWidth="1"/>
    <col min="9743" max="9743" width="13.5703125" bestFit="1" customWidth="1"/>
    <col min="9986" max="9986" width="10.140625" bestFit="1" customWidth="1"/>
    <col min="9988" max="9988" width="11.28515625" bestFit="1" customWidth="1"/>
    <col min="9989" max="9989" width="12.28515625" bestFit="1" customWidth="1"/>
    <col min="9990" max="9990" width="14.28515625" bestFit="1" customWidth="1"/>
    <col min="9992" max="9992" width="14" bestFit="1" customWidth="1"/>
    <col min="9994" max="9994" width="14" bestFit="1" customWidth="1"/>
    <col min="9998" max="9998" width="7.85546875" bestFit="1" customWidth="1"/>
    <col min="9999" max="9999" width="13.5703125" bestFit="1" customWidth="1"/>
    <col min="10242" max="10242" width="10.140625" bestFit="1" customWidth="1"/>
    <col min="10244" max="10244" width="11.28515625" bestFit="1" customWidth="1"/>
    <col min="10245" max="10245" width="12.28515625" bestFit="1" customWidth="1"/>
    <col min="10246" max="10246" width="14.28515625" bestFit="1" customWidth="1"/>
    <col min="10248" max="10248" width="14" bestFit="1" customWidth="1"/>
    <col min="10250" max="10250" width="14" bestFit="1" customWidth="1"/>
    <col min="10254" max="10254" width="7.85546875" bestFit="1" customWidth="1"/>
    <col min="10255" max="10255" width="13.5703125" bestFit="1" customWidth="1"/>
    <col min="10498" max="10498" width="10.140625" bestFit="1" customWidth="1"/>
    <col min="10500" max="10500" width="11.28515625" bestFit="1" customWidth="1"/>
    <col min="10501" max="10501" width="12.28515625" bestFit="1" customWidth="1"/>
    <col min="10502" max="10502" width="14.28515625" bestFit="1" customWidth="1"/>
    <col min="10504" max="10504" width="14" bestFit="1" customWidth="1"/>
    <col min="10506" max="10506" width="14" bestFit="1" customWidth="1"/>
    <col min="10510" max="10510" width="7.85546875" bestFit="1" customWidth="1"/>
    <col min="10511" max="10511" width="13.5703125" bestFit="1" customWidth="1"/>
    <col min="10754" max="10754" width="10.140625" bestFit="1" customWidth="1"/>
    <col min="10756" max="10756" width="11.28515625" bestFit="1" customWidth="1"/>
    <col min="10757" max="10757" width="12.28515625" bestFit="1" customWidth="1"/>
    <col min="10758" max="10758" width="14.28515625" bestFit="1" customWidth="1"/>
    <col min="10760" max="10760" width="14" bestFit="1" customWidth="1"/>
    <col min="10762" max="10762" width="14" bestFit="1" customWidth="1"/>
    <col min="10766" max="10766" width="7.85546875" bestFit="1" customWidth="1"/>
    <col min="10767" max="10767" width="13.5703125" bestFit="1" customWidth="1"/>
    <col min="11010" max="11010" width="10.140625" bestFit="1" customWidth="1"/>
    <col min="11012" max="11012" width="11.28515625" bestFit="1" customWidth="1"/>
    <col min="11013" max="11013" width="12.28515625" bestFit="1" customWidth="1"/>
    <col min="11014" max="11014" width="14.28515625" bestFit="1" customWidth="1"/>
    <col min="11016" max="11016" width="14" bestFit="1" customWidth="1"/>
    <col min="11018" max="11018" width="14" bestFit="1" customWidth="1"/>
    <col min="11022" max="11022" width="7.85546875" bestFit="1" customWidth="1"/>
    <col min="11023" max="11023" width="13.5703125" bestFit="1" customWidth="1"/>
    <col min="11266" max="11266" width="10.140625" bestFit="1" customWidth="1"/>
    <col min="11268" max="11268" width="11.28515625" bestFit="1" customWidth="1"/>
    <col min="11269" max="11269" width="12.28515625" bestFit="1" customWidth="1"/>
    <col min="11270" max="11270" width="14.28515625" bestFit="1" customWidth="1"/>
    <col min="11272" max="11272" width="14" bestFit="1" customWidth="1"/>
    <col min="11274" max="11274" width="14" bestFit="1" customWidth="1"/>
    <col min="11278" max="11278" width="7.85546875" bestFit="1" customWidth="1"/>
    <col min="11279" max="11279" width="13.5703125" bestFit="1" customWidth="1"/>
    <col min="11522" max="11522" width="10.140625" bestFit="1" customWidth="1"/>
    <col min="11524" max="11524" width="11.28515625" bestFit="1" customWidth="1"/>
    <col min="11525" max="11525" width="12.28515625" bestFit="1" customWidth="1"/>
    <col min="11526" max="11526" width="14.28515625" bestFit="1" customWidth="1"/>
    <col min="11528" max="11528" width="14" bestFit="1" customWidth="1"/>
    <col min="11530" max="11530" width="14" bestFit="1" customWidth="1"/>
    <col min="11534" max="11534" width="7.85546875" bestFit="1" customWidth="1"/>
    <col min="11535" max="11535" width="13.5703125" bestFit="1" customWidth="1"/>
    <col min="11778" max="11778" width="10.140625" bestFit="1" customWidth="1"/>
    <col min="11780" max="11780" width="11.28515625" bestFit="1" customWidth="1"/>
    <col min="11781" max="11781" width="12.28515625" bestFit="1" customWidth="1"/>
    <col min="11782" max="11782" width="14.28515625" bestFit="1" customWidth="1"/>
    <col min="11784" max="11784" width="14" bestFit="1" customWidth="1"/>
    <col min="11786" max="11786" width="14" bestFit="1" customWidth="1"/>
    <col min="11790" max="11790" width="7.85546875" bestFit="1" customWidth="1"/>
    <col min="11791" max="11791" width="13.5703125" bestFit="1" customWidth="1"/>
    <col min="12034" max="12034" width="10.140625" bestFit="1" customWidth="1"/>
    <col min="12036" max="12036" width="11.28515625" bestFit="1" customWidth="1"/>
    <col min="12037" max="12037" width="12.28515625" bestFit="1" customWidth="1"/>
    <col min="12038" max="12038" width="14.28515625" bestFit="1" customWidth="1"/>
    <col min="12040" max="12040" width="14" bestFit="1" customWidth="1"/>
    <col min="12042" max="12042" width="14" bestFit="1" customWidth="1"/>
    <col min="12046" max="12046" width="7.85546875" bestFit="1" customWidth="1"/>
    <col min="12047" max="12047" width="13.5703125" bestFit="1" customWidth="1"/>
    <col min="12290" max="12290" width="10.140625" bestFit="1" customWidth="1"/>
    <col min="12292" max="12292" width="11.28515625" bestFit="1" customWidth="1"/>
    <col min="12293" max="12293" width="12.28515625" bestFit="1" customWidth="1"/>
    <col min="12294" max="12294" width="14.28515625" bestFit="1" customWidth="1"/>
    <col min="12296" max="12296" width="14" bestFit="1" customWidth="1"/>
    <col min="12298" max="12298" width="14" bestFit="1" customWidth="1"/>
    <col min="12302" max="12302" width="7.85546875" bestFit="1" customWidth="1"/>
    <col min="12303" max="12303" width="13.5703125" bestFit="1" customWidth="1"/>
    <col min="12546" max="12546" width="10.140625" bestFit="1" customWidth="1"/>
    <col min="12548" max="12548" width="11.28515625" bestFit="1" customWidth="1"/>
    <col min="12549" max="12549" width="12.28515625" bestFit="1" customWidth="1"/>
    <col min="12550" max="12550" width="14.28515625" bestFit="1" customWidth="1"/>
    <col min="12552" max="12552" width="14" bestFit="1" customWidth="1"/>
    <col min="12554" max="12554" width="14" bestFit="1" customWidth="1"/>
    <col min="12558" max="12558" width="7.85546875" bestFit="1" customWidth="1"/>
    <col min="12559" max="12559" width="13.5703125" bestFit="1" customWidth="1"/>
    <col min="12802" max="12802" width="10.140625" bestFit="1" customWidth="1"/>
    <col min="12804" max="12804" width="11.28515625" bestFit="1" customWidth="1"/>
    <col min="12805" max="12805" width="12.28515625" bestFit="1" customWidth="1"/>
    <col min="12806" max="12806" width="14.28515625" bestFit="1" customWidth="1"/>
    <col min="12808" max="12808" width="14" bestFit="1" customWidth="1"/>
    <col min="12810" max="12810" width="14" bestFit="1" customWidth="1"/>
    <col min="12814" max="12814" width="7.85546875" bestFit="1" customWidth="1"/>
    <col min="12815" max="12815" width="13.5703125" bestFit="1" customWidth="1"/>
    <col min="13058" max="13058" width="10.140625" bestFit="1" customWidth="1"/>
    <col min="13060" max="13060" width="11.28515625" bestFit="1" customWidth="1"/>
    <col min="13061" max="13061" width="12.28515625" bestFit="1" customWidth="1"/>
    <col min="13062" max="13062" width="14.28515625" bestFit="1" customWidth="1"/>
    <col min="13064" max="13064" width="14" bestFit="1" customWidth="1"/>
    <col min="13066" max="13066" width="14" bestFit="1" customWidth="1"/>
    <col min="13070" max="13070" width="7.85546875" bestFit="1" customWidth="1"/>
    <col min="13071" max="13071" width="13.5703125" bestFit="1" customWidth="1"/>
    <col min="13314" max="13314" width="10.140625" bestFit="1" customWidth="1"/>
    <col min="13316" max="13316" width="11.28515625" bestFit="1" customWidth="1"/>
    <col min="13317" max="13317" width="12.28515625" bestFit="1" customWidth="1"/>
    <col min="13318" max="13318" width="14.28515625" bestFit="1" customWidth="1"/>
    <col min="13320" max="13320" width="14" bestFit="1" customWidth="1"/>
    <col min="13322" max="13322" width="14" bestFit="1" customWidth="1"/>
    <col min="13326" max="13326" width="7.85546875" bestFit="1" customWidth="1"/>
    <col min="13327" max="13327" width="13.5703125" bestFit="1" customWidth="1"/>
    <col min="13570" max="13570" width="10.140625" bestFit="1" customWidth="1"/>
    <col min="13572" max="13572" width="11.28515625" bestFit="1" customWidth="1"/>
    <col min="13573" max="13573" width="12.28515625" bestFit="1" customWidth="1"/>
    <col min="13574" max="13574" width="14.28515625" bestFit="1" customWidth="1"/>
    <col min="13576" max="13576" width="14" bestFit="1" customWidth="1"/>
    <col min="13578" max="13578" width="14" bestFit="1" customWidth="1"/>
    <col min="13582" max="13582" width="7.85546875" bestFit="1" customWidth="1"/>
    <col min="13583" max="13583" width="13.5703125" bestFit="1" customWidth="1"/>
    <col min="13826" max="13826" width="10.140625" bestFit="1" customWidth="1"/>
    <col min="13828" max="13828" width="11.28515625" bestFit="1" customWidth="1"/>
    <col min="13829" max="13829" width="12.28515625" bestFit="1" customWidth="1"/>
    <col min="13830" max="13830" width="14.28515625" bestFit="1" customWidth="1"/>
    <col min="13832" max="13832" width="14" bestFit="1" customWidth="1"/>
    <col min="13834" max="13834" width="14" bestFit="1" customWidth="1"/>
    <col min="13838" max="13838" width="7.85546875" bestFit="1" customWidth="1"/>
    <col min="13839" max="13839" width="13.5703125" bestFit="1" customWidth="1"/>
    <col min="14082" max="14082" width="10.140625" bestFit="1" customWidth="1"/>
    <col min="14084" max="14084" width="11.28515625" bestFit="1" customWidth="1"/>
    <col min="14085" max="14085" width="12.28515625" bestFit="1" customWidth="1"/>
    <col min="14086" max="14086" width="14.28515625" bestFit="1" customWidth="1"/>
    <col min="14088" max="14088" width="14" bestFit="1" customWidth="1"/>
    <col min="14090" max="14090" width="14" bestFit="1" customWidth="1"/>
    <col min="14094" max="14094" width="7.85546875" bestFit="1" customWidth="1"/>
    <col min="14095" max="14095" width="13.5703125" bestFit="1" customWidth="1"/>
    <col min="14338" max="14338" width="10.140625" bestFit="1" customWidth="1"/>
    <col min="14340" max="14340" width="11.28515625" bestFit="1" customWidth="1"/>
    <col min="14341" max="14341" width="12.28515625" bestFit="1" customWidth="1"/>
    <col min="14342" max="14342" width="14.28515625" bestFit="1" customWidth="1"/>
    <col min="14344" max="14344" width="14" bestFit="1" customWidth="1"/>
    <col min="14346" max="14346" width="14" bestFit="1" customWidth="1"/>
    <col min="14350" max="14350" width="7.85546875" bestFit="1" customWidth="1"/>
    <col min="14351" max="14351" width="13.5703125" bestFit="1" customWidth="1"/>
    <col min="14594" max="14594" width="10.140625" bestFit="1" customWidth="1"/>
    <col min="14596" max="14596" width="11.28515625" bestFit="1" customWidth="1"/>
    <col min="14597" max="14597" width="12.28515625" bestFit="1" customWidth="1"/>
    <col min="14598" max="14598" width="14.28515625" bestFit="1" customWidth="1"/>
    <col min="14600" max="14600" width="14" bestFit="1" customWidth="1"/>
    <col min="14602" max="14602" width="14" bestFit="1" customWidth="1"/>
    <col min="14606" max="14606" width="7.85546875" bestFit="1" customWidth="1"/>
    <col min="14607" max="14607" width="13.5703125" bestFit="1" customWidth="1"/>
    <col min="14850" max="14850" width="10.140625" bestFit="1" customWidth="1"/>
    <col min="14852" max="14852" width="11.28515625" bestFit="1" customWidth="1"/>
    <col min="14853" max="14853" width="12.28515625" bestFit="1" customWidth="1"/>
    <col min="14854" max="14854" width="14.28515625" bestFit="1" customWidth="1"/>
    <col min="14856" max="14856" width="14" bestFit="1" customWidth="1"/>
    <col min="14858" max="14858" width="14" bestFit="1" customWidth="1"/>
    <col min="14862" max="14862" width="7.85546875" bestFit="1" customWidth="1"/>
    <col min="14863" max="14863" width="13.5703125" bestFit="1" customWidth="1"/>
    <col min="15106" max="15106" width="10.140625" bestFit="1" customWidth="1"/>
    <col min="15108" max="15108" width="11.28515625" bestFit="1" customWidth="1"/>
    <col min="15109" max="15109" width="12.28515625" bestFit="1" customWidth="1"/>
    <col min="15110" max="15110" width="14.28515625" bestFit="1" customWidth="1"/>
    <col min="15112" max="15112" width="14" bestFit="1" customWidth="1"/>
    <col min="15114" max="15114" width="14" bestFit="1" customWidth="1"/>
    <col min="15118" max="15118" width="7.85546875" bestFit="1" customWidth="1"/>
    <col min="15119" max="15119" width="13.5703125" bestFit="1" customWidth="1"/>
    <col min="15362" max="15362" width="10.140625" bestFit="1" customWidth="1"/>
    <col min="15364" max="15364" width="11.28515625" bestFit="1" customWidth="1"/>
    <col min="15365" max="15365" width="12.28515625" bestFit="1" customWidth="1"/>
    <col min="15366" max="15366" width="14.28515625" bestFit="1" customWidth="1"/>
    <col min="15368" max="15368" width="14" bestFit="1" customWidth="1"/>
    <col min="15370" max="15370" width="14" bestFit="1" customWidth="1"/>
    <col min="15374" max="15374" width="7.85546875" bestFit="1" customWidth="1"/>
    <col min="15375" max="15375" width="13.5703125" bestFit="1" customWidth="1"/>
    <col min="15618" max="15618" width="10.140625" bestFit="1" customWidth="1"/>
    <col min="15620" max="15620" width="11.28515625" bestFit="1" customWidth="1"/>
    <col min="15621" max="15621" width="12.28515625" bestFit="1" customWidth="1"/>
    <col min="15622" max="15622" width="14.28515625" bestFit="1" customWidth="1"/>
    <col min="15624" max="15624" width="14" bestFit="1" customWidth="1"/>
    <col min="15626" max="15626" width="14" bestFit="1" customWidth="1"/>
    <col min="15630" max="15630" width="7.85546875" bestFit="1" customWidth="1"/>
    <col min="15631" max="15631" width="13.5703125" bestFit="1" customWidth="1"/>
    <col min="15874" max="15874" width="10.140625" bestFit="1" customWidth="1"/>
    <col min="15876" max="15876" width="11.28515625" bestFit="1" customWidth="1"/>
    <col min="15877" max="15877" width="12.28515625" bestFit="1" customWidth="1"/>
    <col min="15878" max="15878" width="14.28515625" bestFit="1" customWidth="1"/>
    <col min="15880" max="15880" width="14" bestFit="1" customWidth="1"/>
    <col min="15882" max="15882" width="14" bestFit="1" customWidth="1"/>
    <col min="15886" max="15886" width="7.85546875" bestFit="1" customWidth="1"/>
    <col min="15887" max="15887" width="13.5703125" bestFit="1" customWidth="1"/>
    <col min="16130" max="16130" width="10.140625" bestFit="1" customWidth="1"/>
    <col min="16132" max="16132" width="11.28515625" bestFit="1" customWidth="1"/>
    <col min="16133" max="16133" width="12.28515625" bestFit="1" customWidth="1"/>
    <col min="16134" max="16134" width="14.28515625" bestFit="1" customWidth="1"/>
    <col min="16136" max="16136" width="14" bestFit="1" customWidth="1"/>
    <col min="16138" max="16138" width="14" bestFit="1" customWidth="1"/>
    <col min="16142" max="16142" width="7.85546875" bestFit="1" customWidth="1"/>
    <col min="16143" max="16143" width="13.5703125" bestFit="1" customWidth="1"/>
  </cols>
  <sheetData>
    <row r="1" spans="1:13" ht="15.75" thickBot="1" x14ac:dyDescent="0.3"/>
    <row r="2" spans="1:13" ht="15.75" thickBot="1" x14ac:dyDescent="0.3">
      <c r="A2" s="19" t="s">
        <v>85</v>
      </c>
      <c r="B2" s="20">
        <v>40556</v>
      </c>
      <c r="D2" s="21" t="s">
        <v>86</v>
      </c>
      <c r="E2" s="21" t="s">
        <v>87</v>
      </c>
    </row>
    <row r="3" spans="1:13" ht="18" x14ac:dyDescent="0.25">
      <c r="A3" s="22" t="s">
        <v>149</v>
      </c>
      <c r="B3" s="23" t="s">
        <v>88</v>
      </c>
    </row>
    <row r="5" spans="1:13" ht="15.75" thickBot="1" x14ac:dyDescent="0.3"/>
    <row r="6" spans="1:13" ht="15.75" thickBot="1" x14ac:dyDescent="0.3">
      <c r="B6" s="24" t="s">
        <v>89</v>
      </c>
      <c r="C6" s="24" t="s">
        <v>90</v>
      </c>
      <c r="D6" s="24" t="s">
        <v>91</v>
      </c>
      <c r="E6" s="24" t="s">
        <v>92</v>
      </c>
      <c r="F6" s="24" t="s">
        <v>93</v>
      </c>
      <c r="K6" s="25"/>
    </row>
    <row r="7" spans="1:13" ht="15.75" thickBot="1" x14ac:dyDescent="0.3">
      <c r="B7" s="26" t="s">
        <v>94</v>
      </c>
      <c r="C7" s="27" t="s">
        <v>100</v>
      </c>
      <c r="D7" s="28" t="s">
        <v>119</v>
      </c>
      <c r="E7" s="29" t="s">
        <v>8</v>
      </c>
      <c r="F7" s="30" t="s">
        <v>115</v>
      </c>
      <c r="J7" s="31"/>
      <c r="K7" s="32" t="s">
        <v>89</v>
      </c>
    </row>
    <row r="8" spans="1:13" ht="15.75" thickBot="1" x14ac:dyDescent="0.3">
      <c r="K8" s="33" t="s">
        <v>94</v>
      </c>
    </row>
    <row r="9" spans="1:13" ht="15.75" thickBot="1" x14ac:dyDescent="0.3">
      <c r="K9" s="33" t="s">
        <v>95</v>
      </c>
    </row>
    <row r="10" spans="1:13" x14ac:dyDescent="0.25">
      <c r="B10" t="s">
        <v>96</v>
      </c>
    </row>
    <row r="11" spans="1:13" x14ac:dyDescent="0.25">
      <c r="B11" t="s">
        <v>97</v>
      </c>
    </row>
    <row r="12" spans="1:13" ht="15.75" thickBot="1" x14ac:dyDescent="0.3">
      <c r="B12" t="s">
        <v>98</v>
      </c>
    </row>
    <row r="13" spans="1:13" ht="15.75" thickBot="1" x14ac:dyDescent="0.3">
      <c r="I13" s="34" t="s">
        <v>94</v>
      </c>
      <c r="M13" s="34" t="s">
        <v>95</v>
      </c>
    </row>
    <row r="14" spans="1:13" ht="15.75" thickBot="1" x14ac:dyDescent="0.3">
      <c r="I14" s="24" t="s">
        <v>99</v>
      </c>
      <c r="M14" s="24" t="s">
        <v>100</v>
      </c>
    </row>
    <row r="15" spans="1:13" ht="15.75" thickBot="1" x14ac:dyDescent="0.3">
      <c r="I15" s="24" t="s">
        <v>101</v>
      </c>
      <c r="M15" s="24" t="s">
        <v>102</v>
      </c>
    </row>
    <row r="16" spans="1:13" ht="15.75" thickBot="1" x14ac:dyDescent="0.3">
      <c r="I16" s="24" t="s">
        <v>103</v>
      </c>
      <c r="M16" s="24" t="s">
        <v>104</v>
      </c>
    </row>
    <row r="18" spans="7:15" ht="15.75" thickBot="1" x14ac:dyDescent="0.3"/>
    <row r="19" spans="7:15" ht="15.75" thickBot="1" x14ac:dyDescent="0.3">
      <c r="G19" s="24" t="s">
        <v>105</v>
      </c>
      <c r="H19" s="24" t="s">
        <v>106</v>
      </c>
      <c r="I19" s="24" t="s">
        <v>107</v>
      </c>
      <c r="J19" s="24" t="s">
        <v>108</v>
      </c>
      <c r="L19" s="24" t="s">
        <v>95</v>
      </c>
      <c r="M19" s="24" t="s">
        <v>72</v>
      </c>
      <c r="N19" s="24" t="s">
        <v>109</v>
      </c>
      <c r="O19" s="24" t="s">
        <v>110</v>
      </c>
    </row>
    <row r="20" spans="7:15" ht="15.75" thickBot="1" x14ac:dyDescent="0.3">
      <c r="G20" s="24" t="s">
        <v>99</v>
      </c>
      <c r="H20" s="24" t="s">
        <v>111</v>
      </c>
      <c r="I20" s="24" t="s">
        <v>112</v>
      </c>
      <c r="J20" s="24" t="s">
        <v>113</v>
      </c>
      <c r="L20" s="24" t="s">
        <v>100</v>
      </c>
      <c r="M20" s="24" t="s">
        <v>114</v>
      </c>
      <c r="N20" s="24" t="s">
        <v>8</v>
      </c>
      <c r="O20" s="24" t="s">
        <v>115</v>
      </c>
    </row>
    <row r="21" spans="7:15" ht="15.75" thickBot="1" x14ac:dyDescent="0.3">
      <c r="G21" s="24" t="s">
        <v>101</v>
      </c>
      <c r="H21" s="24" t="s">
        <v>116</v>
      </c>
      <c r="I21" s="24" t="s">
        <v>117</v>
      </c>
      <c r="J21" s="24" t="s">
        <v>118</v>
      </c>
      <c r="L21" s="24" t="s">
        <v>102</v>
      </c>
      <c r="M21" s="24" t="s">
        <v>119</v>
      </c>
      <c r="N21" s="24" t="s">
        <v>120</v>
      </c>
      <c r="O21" s="24" t="s">
        <v>121</v>
      </c>
    </row>
    <row r="22" spans="7:15" ht="15.75" thickBot="1" x14ac:dyDescent="0.3">
      <c r="G22" s="24" t="s">
        <v>103</v>
      </c>
      <c r="H22" s="24" t="s">
        <v>116</v>
      </c>
      <c r="I22" s="24" t="s">
        <v>122</v>
      </c>
      <c r="J22" s="24" t="s">
        <v>118</v>
      </c>
      <c r="L22" s="24" t="s">
        <v>104</v>
      </c>
      <c r="M22" s="24" t="s">
        <v>123</v>
      </c>
      <c r="N22" s="24" t="s">
        <v>124</v>
      </c>
      <c r="O22" s="24" t="s">
        <v>125</v>
      </c>
    </row>
  </sheetData>
  <dataValidations count="5">
    <dataValidation type="list" allowBlank="1" showInputMessage="1" showErrorMessage="1" sqref="B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543 IX65543 ST65543 ACP65543 AML65543 AWH65543 BGD65543 BPZ65543 BZV65543 CJR65543 CTN65543 DDJ65543 DNF65543 DXB65543 EGX65543 EQT65543 FAP65543 FKL65543 FUH65543 GED65543 GNZ65543 GXV65543 HHR65543 HRN65543 IBJ65543 ILF65543 IVB65543 JEX65543 JOT65543 JYP65543 KIL65543 KSH65543 LCD65543 LLZ65543 LVV65543 MFR65543 MPN65543 MZJ65543 NJF65543 NTB65543 OCX65543 OMT65543 OWP65543 PGL65543 PQH65543 QAD65543 QJZ65543 QTV65543 RDR65543 RNN65543 RXJ65543 SHF65543 SRB65543 TAX65543 TKT65543 TUP65543 UEL65543 UOH65543 UYD65543 VHZ65543 VRV65543 WBR65543 WLN65543 WVJ65543 B131079 IX131079 ST131079 ACP131079 AML131079 AWH131079 BGD131079 BPZ131079 BZV131079 CJR131079 CTN131079 DDJ131079 DNF131079 DXB131079 EGX131079 EQT131079 FAP131079 FKL131079 FUH131079 GED131079 GNZ131079 GXV131079 HHR131079 HRN131079 IBJ131079 ILF131079 IVB131079 JEX131079 JOT131079 JYP131079 KIL131079 KSH131079 LCD131079 LLZ131079 LVV131079 MFR131079 MPN131079 MZJ131079 NJF131079 NTB131079 OCX131079 OMT131079 OWP131079 PGL131079 PQH131079 QAD131079 QJZ131079 QTV131079 RDR131079 RNN131079 RXJ131079 SHF131079 SRB131079 TAX131079 TKT131079 TUP131079 UEL131079 UOH131079 UYD131079 VHZ131079 VRV131079 WBR131079 WLN131079 WVJ131079 B196615 IX196615 ST196615 ACP196615 AML196615 AWH196615 BGD196615 BPZ196615 BZV196615 CJR196615 CTN196615 DDJ196615 DNF196615 DXB196615 EGX196615 EQT196615 FAP196615 FKL196615 FUH196615 GED196615 GNZ196615 GXV196615 HHR196615 HRN196615 IBJ196615 ILF196615 IVB196615 JEX196615 JOT196615 JYP196615 KIL196615 KSH196615 LCD196615 LLZ196615 LVV196615 MFR196615 MPN196615 MZJ196615 NJF196615 NTB196615 OCX196615 OMT196615 OWP196615 PGL196615 PQH196615 QAD196615 QJZ196615 QTV196615 RDR196615 RNN196615 RXJ196615 SHF196615 SRB196615 TAX196615 TKT196615 TUP196615 UEL196615 UOH196615 UYD196615 VHZ196615 VRV196615 WBR196615 WLN196615 WVJ196615 B262151 IX262151 ST262151 ACP262151 AML262151 AWH262151 BGD262151 BPZ262151 BZV262151 CJR262151 CTN262151 DDJ262151 DNF262151 DXB262151 EGX262151 EQT262151 FAP262151 FKL262151 FUH262151 GED262151 GNZ262151 GXV262151 HHR262151 HRN262151 IBJ262151 ILF262151 IVB262151 JEX262151 JOT262151 JYP262151 KIL262151 KSH262151 LCD262151 LLZ262151 LVV262151 MFR262151 MPN262151 MZJ262151 NJF262151 NTB262151 OCX262151 OMT262151 OWP262151 PGL262151 PQH262151 QAD262151 QJZ262151 QTV262151 RDR262151 RNN262151 RXJ262151 SHF262151 SRB262151 TAX262151 TKT262151 TUP262151 UEL262151 UOH262151 UYD262151 VHZ262151 VRV262151 WBR262151 WLN262151 WVJ262151 B327687 IX327687 ST327687 ACP327687 AML327687 AWH327687 BGD327687 BPZ327687 BZV327687 CJR327687 CTN327687 DDJ327687 DNF327687 DXB327687 EGX327687 EQT327687 FAP327687 FKL327687 FUH327687 GED327687 GNZ327687 GXV327687 HHR327687 HRN327687 IBJ327687 ILF327687 IVB327687 JEX327687 JOT327687 JYP327687 KIL327687 KSH327687 LCD327687 LLZ327687 LVV327687 MFR327687 MPN327687 MZJ327687 NJF327687 NTB327687 OCX327687 OMT327687 OWP327687 PGL327687 PQH327687 QAD327687 QJZ327687 QTV327687 RDR327687 RNN327687 RXJ327687 SHF327687 SRB327687 TAX327687 TKT327687 TUP327687 UEL327687 UOH327687 UYD327687 VHZ327687 VRV327687 WBR327687 WLN327687 WVJ327687 B393223 IX393223 ST393223 ACP393223 AML393223 AWH393223 BGD393223 BPZ393223 BZV393223 CJR393223 CTN393223 DDJ393223 DNF393223 DXB393223 EGX393223 EQT393223 FAP393223 FKL393223 FUH393223 GED393223 GNZ393223 GXV393223 HHR393223 HRN393223 IBJ393223 ILF393223 IVB393223 JEX393223 JOT393223 JYP393223 KIL393223 KSH393223 LCD393223 LLZ393223 LVV393223 MFR393223 MPN393223 MZJ393223 NJF393223 NTB393223 OCX393223 OMT393223 OWP393223 PGL393223 PQH393223 QAD393223 QJZ393223 QTV393223 RDR393223 RNN393223 RXJ393223 SHF393223 SRB393223 TAX393223 TKT393223 TUP393223 UEL393223 UOH393223 UYD393223 VHZ393223 VRV393223 WBR393223 WLN393223 WVJ393223 B458759 IX458759 ST458759 ACP458759 AML458759 AWH458759 BGD458759 BPZ458759 BZV458759 CJR458759 CTN458759 DDJ458759 DNF458759 DXB458759 EGX458759 EQT458759 FAP458759 FKL458759 FUH458759 GED458759 GNZ458759 GXV458759 HHR458759 HRN458759 IBJ458759 ILF458759 IVB458759 JEX458759 JOT458759 JYP458759 KIL458759 KSH458759 LCD458759 LLZ458759 LVV458759 MFR458759 MPN458759 MZJ458759 NJF458759 NTB458759 OCX458759 OMT458759 OWP458759 PGL458759 PQH458759 QAD458759 QJZ458759 QTV458759 RDR458759 RNN458759 RXJ458759 SHF458759 SRB458759 TAX458759 TKT458759 TUP458759 UEL458759 UOH458759 UYD458759 VHZ458759 VRV458759 WBR458759 WLN458759 WVJ458759 B524295 IX524295 ST524295 ACP524295 AML524295 AWH524295 BGD524295 BPZ524295 BZV524295 CJR524295 CTN524295 DDJ524295 DNF524295 DXB524295 EGX524295 EQT524295 FAP524295 FKL524295 FUH524295 GED524295 GNZ524295 GXV524295 HHR524295 HRN524295 IBJ524295 ILF524295 IVB524295 JEX524295 JOT524295 JYP524295 KIL524295 KSH524295 LCD524295 LLZ524295 LVV524295 MFR524295 MPN524295 MZJ524295 NJF524295 NTB524295 OCX524295 OMT524295 OWP524295 PGL524295 PQH524295 QAD524295 QJZ524295 QTV524295 RDR524295 RNN524295 RXJ524295 SHF524295 SRB524295 TAX524295 TKT524295 TUP524295 UEL524295 UOH524295 UYD524295 VHZ524295 VRV524295 WBR524295 WLN524295 WVJ524295 B589831 IX589831 ST589831 ACP589831 AML589831 AWH589831 BGD589831 BPZ589831 BZV589831 CJR589831 CTN589831 DDJ589831 DNF589831 DXB589831 EGX589831 EQT589831 FAP589831 FKL589831 FUH589831 GED589831 GNZ589831 GXV589831 HHR589831 HRN589831 IBJ589831 ILF589831 IVB589831 JEX589831 JOT589831 JYP589831 KIL589831 KSH589831 LCD589831 LLZ589831 LVV589831 MFR589831 MPN589831 MZJ589831 NJF589831 NTB589831 OCX589831 OMT589831 OWP589831 PGL589831 PQH589831 QAD589831 QJZ589831 QTV589831 RDR589831 RNN589831 RXJ589831 SHF589831 SRB589831 TAX589831 TKT589831 TUP589831 UEL589831 UOH589831 UYD589831 VHZ589831 VRV589831 WBR589831 WLN589831 WVJ589831 B655367 IX655367 ST655367 ACP655367 AML655367 AWH655367 BGD655367 BPZ655367 BZV655367 CJR655367 CTN655367 DDJ655367 DNF655367 DXB655367 EGX655367 EQT655367 FAP655367 FKL655367 FUH655367 GED655367 GNZ655367 GXV655367 HHR655367 HRN655367 IBJ655367 ILF655367 IVB655367 JEX655367 JOT655367 JYP655367 KIL655367 KSH655367 LCD655367 LLZ655367 LVV655367 MFR655367 MPN655367 MZJ655367 NJF655367 NTB655367 OCX655367 OMT655367 OWP655367 PGL655367 PQH655367 QAD655367 QJZ655367 QTV655367 RDR655367 RNN655367 RXJ655367 SHF655367 SRB655367 TAX655367 TKT655367 TUP655367 UEL655367 UOH655367 UYD655367 VHZ655367 VRV655367 WBR655367 WLN655367 WVJ655367 B720903 IX720903 ST720903 ACP720903 AML720903 AWH720903 BGD720903 BPZ720903 BZV720903 CJR720903 CTN720903 DDJ720903 DNF720903 DXB720903 EGX720903 EQT720903 FAP720903 FKL720903 FUH720903 GED720903 GNZ720903 GXV720903 HHR720903 HRN720903 IBJ720903 ILF720903 IVB720903 JEX720903 JOT720903 JYP720903 KIL720903 KSH720903 LCD720903 LLZ720903 LVV720903 MFR720903 MPN720903 MZJ720903 NJF720903 NTB720903 OCX720903 OMT720903 OWP720903 PGL720903 PQH720903 QAD720903 QJZ720903 QTV720903 RDR720903 RNN720903 RXJ720903 SHF720903 SRB720903 TAX720903 TKT720903 TUP720903 UEL720903 UOH720903 UYD720903 VHZ720903 VRV720903 WBR720903 WLN720903 WVJ720903 B786439 IX786439 ST786439 ACP786439 AML786439 AWH786439 BGD786439 BPZ786439 BZV786439 CJR786439 CTN786439 DDJ786439 DNF786439 DXB786439 EGX786439 EQT786439 FAP786439 FKL786439 FUH786439 GED786439 GNZ786439 GXV786439 HHR786439 HRN786439 IBJ786439 ILF786439 IVB786439 JEX786439 JOT786439 JYP786439 KIL786439 KSH786439 LCD786439 LLZ786439 LVV786439 MFR786439 MPN786439 MZJ786439 NJF786439 NTB786439 OCX786439 OMT786439 OWP786439 PGL786439 PQH786439 QAD786439 QJZ786439 QTV786439 RDR786439 RNN786439 RXJ786439 SHF786439 SRB786439 TAX786439 TKT786439 TUP786439 UEL786439 UOH786439 UYD786439 VHZ786439 VRV786439 WBR786439 WLN786439 WVJ786439 B851975 IX851975 ST851975 ACP851975 AML851975 AWH851975 BGD851975 BPZ851975 BZV851975 CJR851975 CTN851975 DDJ851975 DNF851975 DXB851975 EGX851975 EQT851975 FAP851975 FKL851975 FUH851975 GED851975 GNZ851975 GXV851975 HHR851975 HRN851975 IBJ851975 ILF851975 IVB851975 JEX851975 JOT851975 JYP851975 KIL851975 KSH851975 LCD851975 LLZ851975 LVV851975 MFR851975 MPN851975 MZJ851975 NJF851975 NTB851975 OCX851975 OMT851975 OWP851975 PGL851975 PQH851975 QAD851975 QJZ851975 QTV851975 RDR851975 RNN851975 RXJ851975 SHF851975 SRB851975 TAX851975 TKT851975 TUP851975 UEL851975 UOH851975 UYD851975 VHZ851975 VRV851975 WBR851975 WLN851975 WVJ851975 B917511 IX917511 ST917511 ACP917511 AML917511 AWH917511 BGD917511 BPZ917511 BZV917511 CJR917511 CTN917511 DDJ917511 DNF917511 DXB917511 EGX917511 EQT917511 FAP917511 FKL917511 FUH917511 GED917511 GNZ917511 GXV917511 HHR917511 HRN917511 IBJ917511 ILF917511 IVB917511 JEX917511 JOT917511 JYP917511 KIL917511 KSH917511 LCD917511 LLZ917511 LVV917511 MFR917511 MPN917511 MZJ917511 NJF917511 NTB917511 OCX917511 OMT917511 OWP917511 PGL917511 PQH917511 QAD917511 QJZ917511 QTV917511 RDR917511 RNN917511 RXJ917511 SHF917511 SRB917511 TAX917511 TKT917511 TUP917511 UEL917511 UOH917511 UYD917511 VHZ917511 VRV917511 WBR917511 WLN917511 WVJ917511 B983047 IX983047 ST983047 ACP983047 AML983047 AWH983047 BGD983047 BPZ983047 BZV983047 CJR983047 CTN983047 DDJ983047 DNF983047 DXB983047 EGX983047 EQT983047 FAP983047 FKL983047 FUH983047 GED983047 GNZ983047 GXV983047 HHR983047 HRN983047 IBJ983047 ILF983047 IVB983047 JEX983047 JOT983047 JYP983047 KIL983047 KSH983047 LCD983047 LLZ983047 LVV983047 MFR983047 MPN983047 MZJ983047 NJF983047 NTB983047 OCX983047 OMT983047 OWP983047 PGL983047 PQH983047 QAD983047 QJZ983047 QTV983047 RDR983047 RNN983047 RXJ983047 SHF983047 SRB983047 TAX983047 TKT983047 TUP983047 UEL983047 UOH983047 UYD983047 VHZ983047 VRV983047 WBR983047 WLN983047 WVJ983047" xr:uid="{E0BE0C86-0A2A-4E18-8069-813F470FC60B}">
      <formula1>$K$8:$K$9</formula1>
    </dataValidation>
    <dataValidation type="list" allowBlank="1" showInputMessage="1" showErrorMessage="1" sqref="C7" xr:uid="{5772BE3B-B507-4CF8-A1C0-F4487AE18A90}">
      <formula1>IF($B$7=$K$8,$I$14:$I$16,$M$14:$M$16)</formula1>
    </dataValidation>
    <dataValidation type="list" allowBlank="1" showInputMessage="1" showErrorMessage="1" sqref="D7" xr:uid="{851B658B-82C8-44BE-B212-8C177AB206F2}">
      <formula1>IF($B$7=$K$8,$H$20:$H$22,$M$20:$M$22)</formula1>
    </dataValidation>
    <dataValidation type="list" allowBlank="1" showInputMessage="1" showErrorMessage="1" sqref="E7" xr:uid="{825822FD-7926-434F-9314-DCCDD04A8A10}">
      <formula1>IF($B$7=$K$8,$I$20:$I$22,$N$20:$N$22)</formula1>
    </dataValidation>
    <dataValidation type="list" allowBlank="1" showInputMessage="1" showErrorMessage="1" sqref="F7" xr:uid="{3D6695F1-A628-466B-BA2F-BFA521B68C52}">
      <formula1>IF($B$7=$K$8,$J$20:$J$22,$O$20:$O$22)</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3479-4D84-41F7-B307-99E09F53B0C3}">
  <dimension ref="A1:Q713"/>
  <sheetViews>
    <sheetView showGridLines="0" workbookViewId="0">
      <selection activeCell="K18" sqref="K18"/>
    </sheetView>
  </sheetViews>
  <sheetFormatPr defaultRowHeight="15" x14ac:dyDescent="0.25"/>
  <sheetData>
    <row r="1" spans="1:17" ht="15.75" thickBot="1" x14ac:dyDescent="0.3">
      <c r="A1" s="37" t="s">
        <v>85</v>
      </c>
      <c r="B1" s="38" t="s">
        <v>150</v>
      </c>
      <c r="C1" s="37" t="s">
        <v>151</v>
      </c>
      <c r="D1" s="37" t="s">
        <v>152</v>
      </c>
      <c r="E1" s="37" t="s">
        <v>153</v>
      </c>
      <c r="F1" s="37" t="s">
        <v>154</v>
      </c>
    </row>
    <row r="2" spans="1:17" ht="16.5" thickBot="1" x14ac:dyDescent="0.3">
      <c r="A2" s="39">
        <v>38961</v>
      </c>
      <c r="B2" s="40">
        <v>5000</v>
      </c>
      <c r="C2" s="41" t="s">
        <v>155</v>
      </c>
      <c r="D2" s="41" t="s">
        <v>156</v>
      </c>
      <c r="E2" s="41" t="s">
        <v>157</v>
      </c>
      <c r="F2" s="41" t="s">
        <v>158</v>
      </c>
      <c r="I2" s="42" t="s">
        <v>159</v>
      </c>
    </row>
    <row r="3" spans="1:17" ht="15.75" thickBot="1" x14ac:dyDescent="0.3">
      <c r="A3" s="39">
        <v>38961</v>
      </c>
      <c r="B3" s="40">
        <v>14571</v>
      </c>
      <c r="C3" s="41" t="s">
        <v>160</v>
      </c>
      <c r="D3" s="41" t="s">
        <v>161</v>
      </c>
      <c r="E3" s="41" t="s">
        <v>157</v>
      </c>
      <c r="F3" s="41" t="s">
        <v>162</v>
      </c>
    </row>
    <row r="4" spans="1:17" ht="15.75" thickBot="1" x14ac:dyDescent="0.3">
      <c r="A4" s="39">
        <v>38961</v>
      </c>
      <c r="B4" s="40">
        <v>500</v>
      </c>
      <c r="C4" s="41" t="s">
        <v>163</v>
      </c>
      <c r="D4" s="41" t="s">
        <v>156</v>
      </c>
      <c r="E4" s="41" t="s">
        <v>157</v>
      </c>
      <c r="F4" s="41" t="s">
        <v>158</v>
      </c>
      <c r="I4" s="43" t="s">
        <v>164</v>
      </c>
      <c r="J4" s="44"/>
      <c r="K4" s="44"/>
      <c r="L4" s="44"/>
      <c r="M4" s="44"/>
      <c r="N4" s="44"/>
      <c r="O4" s="44"/>
      <c r="P4" s="44"/>
      <c r="Q4" s="44"/>
    </row>
    <row r="5" spans="1:17" ht="15.75" thickBot="1" x14ac:dyDescent="0.3">
      <c r="A5" s="39">
        <v>38961</v>
      </c>
      <c r="B5" s="40">
        <v>15000</v>
      </c>
      <c r="C5" s="41" t="s">
        <v>160</v>
      </c>
      <c r="D5" s="41" t="s">
        <v>156</v>
      </c>
      <c r="E5" s="41" t="s">
        <v>157</v>
      </c>
      <c r="F5" s="41" t="s">
        <v>158</v>
      </c>
    </row>
    <row r="6" spans="1:17" ht="15.75" thickBot="1" x14ac:dyDescent="0.3">
      <c r="A6" s="39">
        <v>38961</v>
      </c>
      <c r="B6" s="40">
        <v>4623</v>
      </c>
      <c r="C6" s="41" t="s">
        <v>166</v>
      </c>
      <c r="D6" s="41" t="s">
        <v>156</v>
      </c>
      <c r="E6" s="41" t="s">
        <v>167</v>
      </c>
      <c r="F6" s="41" t="s">
        <v>158</v>
      </c>
      <c r="I6" s="43" t="s">
        <v>165</v>
      </c>
      <c r="J6" s="44"/>
      <c r="K6" s="44"/>
      <c r="L6" s="44"/>
      <c r="M6" s="44"/>
      <c r="N6" s="44"/>
      <c r="O6" s="44"/>
      <c r="P6" s="44"/>
      <c r="Q6" s="44"/>
    </row>
    <row r="7" spans="1:17" ht="15.75" thickBot="1" x14ac:dyDescent="0.3">
      <c r="A7" s="39">
        <v>38961</v>
      </c>
      <c r="B7" s="40">
        <v>8721</v>
      </c>
      <c r="C7" s="41" t="s">
        <v>166</v>
      </c>
      <c r="D7" s="41" t="s">
        <v>156</v>
      </c>
      <c r="E7" s="41" t="s">
        <v>169</v>
      </c>
      <c r="F7" s="41" t="s">
        <v>162</v>
      </c>
    </row>
    <row r="8" spans="1:17" ht="15.75" thickBot="1" x14ac:dyDescent="0.3">
      <c r="A8" s="39">
        <v>38961</v>
      </c>
      <c r="B8" s="40">
        <v>15276</v>
      </c>
      <c r="C8" s="41" t="s">
        <v>166</v>
      </c>
      <c r="D8" s="41" t="s">
        <v>156</v>
      </c>
      <c r="E8" s="41" t="s">
        <v>167</v>
      </c>
      <c r="F8" s="41" t="s">
        <v>158</v>
      </c>
      <c r="I8" s="43" t="s">
        <v>168</v>
      </c>
      <c r="J8" s="44"/>
      <c r="K8" s="44"/>
      <c r="L8" s="44"/>
      <c r="M8" s="44"/>
      <c r="N8" s="44"/>
      <c r="O8" s="44"/>
      <c r="P8" s="44"/>
      <c r="Q8" s="44"/>
    </row>
    <row r="9" spans="1:17" ht="15.75" thickBot="1" x14ac:dyDescent="0.3">
      <c r="A9" s="39">
        <v>38961</v>
      </c>
      <c r="B9" s="40">
        <v>5000</v>
      </c>
      <c r="C9" s="41" t="s">
        <v>166</v>
      </c>
      <c r="D9" s="41" t="s">
        <v>156</v>
      </c>
      <c r="E9" s="41" t="s">
        <v>169</v>
      </c>
      <c r="F9" s="41" t="s">
        <v>158</v>
      </c>
    </row>
    <row r="10" spans="1:17" ht="15.75" thickBot="1" x14ac:dyDescent="0.3">
      <c r="A10" s="39">
        <v>38961</v>
      </c>
      <c r="B10" s="40">
        <v>15759</v>
      </c>
      <c r="C10" s="41" t="s">
        <v>160</v>
      </c>
      <c r="D10" s="41" t="s">
        <v>161</v>
      </c>
      <c r="E10" s="41" t="s">
        <v>169</v>
      </c>
      <c r="F10" s="41" t="s">
        <v>158</v>
      </c>
      <c r="I10" s="43" t="s">
        <v>170</v>
      </c>
      <c r="J10" s="44"/>
      <c r="K10" s="44"/>
      <c r="L10" s="44"/>
      <c r="M10" s="44"/>
      <c r="N10" s="44"/>
      <c r="O10" s="44"/>
      <c r="P10" s="44"/>
      <c r="Q10" s="44"/>
    </row>
    <row r="11" spans="1:17" ht="15.75" thickBot="1" x14ac:dyDescent="0.3">
      <c r="A11" s="39">
        <v>38961</v>
      </c>
      <c r="B11" s="40">
        <v>12000</v>
      </c>
      <c r="C11" s="41" t="s">
        <v>160</v>
      </c>
      <c r="D11" s="41" t="s">
        <v>156</v>
      </c>
      <c r="E11" s="41" t="s">
        <v>169</v>
      </c>
      <c r="F11" s="41" t="s">
        <v>158</v>
      </c>
    </row>
    <row r="12" spans="1:17" ht="15.75" thickBot="1" x14ac:dyDescent="0.3">
      <c r="A12" s="39">
        <v>38961</v>
      </c>
      <c r="B12" s="40">
        <v>7177</v>
      </c>
      <c r="C12" s="41" t="s">
        <v>166</v>
      </c>
      <c r="D12" s="41" t="s">
        <v>161</v>
      </c>
      <c r="E12" s="41" t="s">
        <v>167</v>
      </c>
      <c r="F12" s="41" t="s">
        <v>158</v>
      </c>
      <c r="I12" s="43" t="s">
        <v>171</v>
      </c>
      <c r="J12" s="44"/>
      <c r="K12" s="44"/>
      <c r="L12" s="44"/>
      <c r="M12" s="44"/>
      <c r="N12" s="44"/>
      <c r="O12" s="44"/>
      <c r="P12" s="44"/>
      <c r="Q12" s="44"/>
    </row>
    <row r="13" spans="1:17" ht="15.75" thickBot="1" x14ac:dyDescent="0.3">
      <c r="A13" s="39">
        <v>38961</v>
      </c>
      <c r="B13" s="40">
        <v>6837</v>
      </c>
      <c r="C13" s="41" t="s">
        <v>166</v>
      </c>
      <c r="D13" s="41" t="s">
        <v>156</v>
      </c>
      <c r="E13" s="41" t="s">
        <v>169</v>
      </c>
      <c r="F13" s="41" t="s">
        <v>158</v>
      </c>
    </row>
    <row r="14" spans="1:17" ht="15.75" thickBot="1" x14ac:dyDescent="0.3">
      <c r="A14" s="39">
        <v>38961</v>
      </c>
      <c r="B14" s="40">
        <v>3171</v>
      </c>
      <c r="C14" s="41" t="s">
        <v>163</v>
      </c>
      <c r="D14" s="41" t="s">
        <v>156</v>
      </c>
      <c r="E14" s="41" t="s">
        <v>169</v>
      </c>
      <c r="F14" s="41" t="s">
        <v>158</v>
      </c>
      <c r="I14" s="43" t="s">
        <v>172</v>
      </c>
      <c r="J14" s="44"/>
      <c r="K14" s="44"/>
      <c r="L14" s="44"/>
      <c r="M14" s="44"/>
      <c r="N14" s="44"/>
      <c r="O14" s="44"/>
      <c r="P14" s="44"/>
      <c r="Q14" s="44"/>
    </row>
    <row r="15" spans="1:17" ht="15.75" thickBot="1" x14ac:dyDescent="0.3">
      <c r="A15" s="39">
        <v>38961</v>
      </c>
      <c r="B15" s="40">
        <v>50000</v>
      </c>
      <c r="C15" s="41" t="s">
        <v>166</v>
      </c>
      <c r="D15" s="41" t="s">
        <v>156</v>
      </c>
      <c r="E15" s="41" t="s">
        <v>157</v>
      </c>
      <c r="F15" s="41" t="s">
        <v>158</v>
      </c>
    </row>
    <row r="16" spans="1:17" ht="15.75" thickBot="1" x14ac:dyDescent="0.3">
      <c r="A16" s="39">
        <v>38961</v>
      </c>
      <c r="B16" s="40">
        <v>4690</v>
      </c>
      <c r="C16" s="41" t="s">
        <v>163</v>
      </c>
      <c r="D16" s="41" t="s">
        <v>156</v>
      </c>
      <c r="E16" s="41" t="s">
        <v>167</v>
      </c>
      <c r="F16" s="41" t="s">
        <v>162</v>
      </c>
    </row>
    <row r="17" spans="1:6" ht="15.75" thickBot="1" x14ac:dyDescent="0.3">
      <c r="A17" s="39">
        <v>38961</v>
      </c>
      <c r="B17" s="40">
        <v>12438</v>
      </c>
      <c r="C17" s="41" t="s">
        <v>163</v>
      </c>
      <c r="D17" s="41" t="s">
        <v>156</v>
      </c>
      <c r="E17" s="41" t="s">
        <v>157</v>
      </c>
      <c r="F17" s="41" t="s">
        <v>158</v>
      </c>
    </row>
    <row r="18" spans="1:6" ht="15.75" thickBot="1" x14ac:dyDescent="0.3">
      <c r="A18" s="39">
        <v>38961</v>
      </c>
      <c r="B18" s="40">
        <v>5000</v>
      </c>
      <c r="C18" s="41" t="s">
        <v>163</v>
      </c>
      <c r="D18" s="41" t="s">
        <v>156</v>
      </c>
      <c r="E18" s="41" t="s">
        <v>167</v>
      </c>
      <c r="F18" s="41" t="s">
        <v>158</v>
      </c>
    </row>
    <row r="19" spans="1:6" ht="15.75" thickBot="1" x14ac:dyDescent="0.3">
      <c r="A19" s="39">
        <v>38961</v>
      </c>
      <c r="B19" s="40">
        <v>7000</v>
      </c>
      <c r="C19" s="41" t="s">
        <v>166</v>
      </c>
      <c r="D19" s="41" t="s">
        <v>156</v>
      </c>
      <c r="E19" s="41" t="s">
        <v>167</v>
      </c>
      <c r="F19" s="41" t="s">
        <v>162</v>
      </c>
    </row>
    <row r="20" spans="1:6" ht="15.75" thickBot="1" x14ac:dyDescent="0.3">
      <c r="A20" s="39">
        <v>38961</v>
      </c>
      <c r="B20" s="40">
        <v>11957</v>
      </c>
      <c r="C20" s="41" t="s">
        <v>163</v>
      </c>
      <c r="D20" s="41" t="s">
        <v>156</v>
      </c>
      <c r="E20" s="41" t="s">
        <v>157</v>
      </c>
      <c r="F20" s="41" t="s">
        <v>158</v>
      </c>
    </row>
    <row r="21" spans="1:6" ht="15.75" thickBot="1" x14ac:dyDescent="0.3">
      <c r="A21" s="39">
        <v>38961</v>
      </c>
      <c r="B21" s="40">
        <v>13636</v>
      </c>
      <c r="C21" s="41" t="s">
        <v>160</v>
      </c>
      <c r="D21" s="41" t="s">
        <v>156</v>
      </c>
      <c r="E21" s="41" t="s">
        <v>167</v>
      </c>
      <c r="F21" s="41" t="s">
        <v>158</v>
      </c>
    </row>
    <row r="22" spans="1:6" ht="15.75" thickBot="1" x14ac:dyDescent="0.3">
      <c r="A22" s="39">
        <v>38961</v>
      </c>
      <c r="B22" s="40">
        <v>16000</v>
      </c>
      <c r="C22" s="41" t="s">
        <v>160</v>
      </c>
      <c r="D22" s="41" t="s">
        <v>156</v>
      </c>
      <c r="E22" s="41" t="s">
        <v>157</v>
      </c>
      <c r="F22" s="41" t="s">
        <v>162</v>
      </c>
    </row>
    <row r="23" spans="1:6" ht="15.75" thickBot="1" x14ac:dyDescent="0.3">
      <c r="A23" s="39">
        <v>38961</v>
      </c>
      <c r="B23" s="40">
        <v>5879</v>
      </c>
      <c r="C23" s="41" t="s">
        <v>163</v>
      </c>
      <c r="D23" s="41" t="s">
        <v>156</v>
      </c>
      <c r="E23" s="41" t="s">
        <v>157</v>
      </c>
      <c r="F23" s="41" t="s">
        <v>158</v>
      </c>
    </row>
    <row r="24" spans="1:6" ht="15.75" thickBot="1" x14ac:dyDescent="0.3">
      <c r="A24" s="39">
        <v>38961</v>
      </c>
      <c r="B24" s="40">
        <v>4000</v>
      </c>
      <c r="C24" s="41" t="s">
        <v>166</v>
      </c>
      <c r="D24" s="41" t="s">
        <v>156</v>
      </c>
      <c r="E24" s="41" t="s">
        <v>157</v>
      </c>
      <c r="F24" s="41" t="s">
        <v>158</v>
      </c>
    </row>
    <row r="25" spans="1:6" ht="15.75" thickBot="1" x14ac:dyDescent="0.3">
      <c r="A25" s="39">
        <v>38962</v>
      </c>
      <c r="B25" s="40">
        <v>10000</v>
      </c>
      <c r="C25" s="41" t="s">
        <v>160</v>
      </c>
      <c r="D25" s="41" t="s">
        <v>161</v>
      </c>
      <c r="E25" s="41" t="s">
        <v>167</v>
      </c>
      <c r="F25" s="41" t="s">
        <v>158</v>
      </c>
    </row>
    <row r="26" spans="1:6" ht="15.75" thickBot="1" x14ac:dyDescent="0.3">
      <c r="A26" s="39">
        <v>38962</v>
      </c>
      <c r="B26" s="40">
        <v>7427</v>
      </c>
      <c r="C26" s="41" t="s">
        <v>163</v>
      </c>
      <c r="D26" s="41" t="s">
        <v>156</v>
      </c>
      <c r="E26" s="41" t="s">
        <v>167</v>
      </c>
      <c r="F26" s="41" t="s">
        <v>158</v>
      </c>
    </row>
    <row r="27" spans="1:6" ht="15.75" thickBot="1" x14ac:dyDescent="0.3">
      <c r="A27" s="39">
        <v>38962</v>
      </c>
      <c r="B27" s="40">
        <v>4500</v>
      </c>
      <c r="C27" s="41" t="s">
        <v>163</v>
      </c>
      <c r="D27" s="41" t="s">
        <v>156</v>
      </c>
      <c r="E27" s="41" t="s">
        <v>167</v>
      </c>
      <c r="F27" s="41" t="s">
        <v>162</v>
      </c>
    </row>
    <row r="28" spans="1:6" ht="15.75" thickBot="1" x14ac:dyDescent="0.3">
      <c r="A28" s="39">
        <v>38962</v>
      </c>
      <c r="B28" s="40">
        <v>12962</v>
      </c>
      <c r="C28" s="41" t="s">
        <v>163</v>
      </c>
      <c r="D28" s="41" t="s">
        <v>161</v>
      </c>
      <c r="E28" s="41" t="s">
        <v>157</v>
      </c>
      <c r="F28" s="41" t="s">
        <v>158</v>
      </c>
    </row>
    <row r="29" spans="1:6" ht="15.75" thickBot="1" x14ac:dyDescent="0.3">
      <c r="A29" s="39">
        <v>38962</v>
      </c>
      <c r="B29" s="40">
        <v>500</v>
      </c>
      <c r="C29" s="41" t="s">
        <v>163</v>
      </c>
      <c r="D29" s="41" t="s">
        <v>156</v>
      </c>
      <c r="E29" s="41" t="s">
        <v>157</v>
      </c>
      <c r="F29" s="41" t="s">
        <v>162</v>
      </c>
    </row>
    <row r="30" spans="1:6" ht="15.75" thickBot="1" x14ac:dyDescent="0.3">
      <c r="A30" s="39">
        <v>38962</v>
      </c>
      <c r="B30" s="40">
        <v>5364</v>
      </c>
      <c r="C30" s="41" t="s">
        <v>163</v>
      </c>
      <c r="D30" s="41" t="s">
        <v>161</v>
      </c>
      <c r="E30" s="41" t="s">
        <v>157</v>
      </c>
      <c r="F30" s="41" t="s">
        <v>162</v>
      </c>
    </row>
    <row r="31" spans="1:6" ht="15.75" thickBot="1" x14ac:dyDescent="0.3">
      <c r="A31" s="39">
        <v>38962</v>
      </c>
      <c r="B31" s="40">
        <v>45000</v>
      </c>
      <c r="C31" s="41" t="s">
        <v>160</v>
      </c>
      <c r="D31" s="41" t="s">
        <v>161</v>
      </c>
      <c r="E31" s="41" t="s">
        <v>167</v>
      </c>
      <c r="F31" s="41" t="s">
        <v>158</v>
      </c>
    </row>
    <row r="32" spans="1:6" ht="15.75" thickBot="1" x14ac:dyDescent="0.3">
      <c r="A32" s="39">
        <v>38962</v>
      </c>
      <c r="B32" s="40">
        <v>14867</v>
      </c>
      <c r="C32" s="41" t="s">
        <v>163</v>
      </c>
      <c r="D32" s="41" t="s">
        <v>161</v>
      </c>
      <c r="E32" s="41" t="s">
        <v>167</v>
      </c>
      <c r="F32" s="41" t="s">
        <v>158</v>
      </c>
    </row>
    <row r="33" spans="1:6" ht="15.75" thickBot="1" x14ac:dyDescent="0.3">
      <c r="A33" s="39">
        <v>38962</v>
      </c>
      <c r="B33" s="40">
        <v>13061</v>
      </c>
      <c r="C33" s="41" t="s">
        <v>163</v>
      </c>
      <c r="D33" s="41" t="s">
        <v>161</v>
      </c>
      <c r="E33" s="41" t="s">
        <v>157</v>
      </c>
      <c r="F33" s="41" t="s">
        <v>162</v>
      </c>
    </row>
    <row r="34" spans="1:6" ht="15.75" thickBot="1" x14ac:dyDescent="0.3">
      <c r="A34" s="39">
        <v>38962</v>
      </c>
      <c r="B34" s="40">
        <v>11779</v>
      </c>
      <c r="C34" s="41" t="s">
        <v>160</v>
      </c>
      <c r="D34" s="41" t="s">
        <v>161</v>
      </c>
      <c r="E34" s="41" t="s">
        <v>157</v>
      </c>
      <c r="F34" s="41" t="s">
        <v>162</v>
      </c>
    </row>
    <row r="35" spans="1:6" ht="15.75" thickBot="1" x14ac:dyDescent="0.3">
      <c r="A35" s="39">
        <v>38962</v>
      </c>
      <c r="B35" s="40">
        <v>4995</v>
      </c>
      <c r="C35" s="41" t="s">
        <v>163</v>
      </c>
      <c r="D35" s="41" t="s">
        <v>156</v>
      </c>
      <c r="E35" s="41" t="s">
        <v>157</v>
      </c>
      <c r="F35" s="41" t="s">
        <v>162</v>
      </c>
    </row>
    <row r="36" spans="1:6" ht="15.75" thickBot="1" x14ac:dyDescent="0.3">
      <c r="A36" s="39">
        <v>38962</v>
      </c>
      <c r="B36" s="40">
        <v>10096</v>
      </c>
      <c r="C36" s="41" t="s">
        <v>166</v>
      </c>
      <c r="D36" s="41" t="s">
        <v>156</v>
      </c>
      <c r="E36" s="41" t="s">
        <v>157</v>
      </c>
      <c r="F36" s="41" t="s">
        <v>162</v>
      </c>
    </row>
    <row r="37" spans="1:6" ht="15.75" thickBot="1" x14ac:dyDescent="0.3">
      <c r="A37" s="39">
        <v>38962</v>
      </c>
      <c r="B37" s="40">
        <v>14861</v>
      </c>
      <c r="C37" s="41" t="s">
        <v>166</v>
      </c>
      <c r="D37" s="41" t="s">
        <v>156</v>
      </c>
      <c r="E37" s="41" t="s">
        <v>157</v>
      </c>
      <c r="F37" s="41" t="s">
        <v>162</v>
      </c>
    </row>
    <row r="38" spans="1:6" ht="15.75" thickBot="1" x14ac:dyDescent="0.3">
      <c r="A38" s="39">
        <v>38962</v>
      </c>
      <c r="B38" s="40">
        <v>500</v>
      </c>
      <c r="C38" s="41" t="s">
        <v>163</v>
      </c>
      <c r="D38" s="41" t="s">
        <v>161</v>
      </c>
      <c r="E38" s="41" t="s">
        <v>157</v>
      </c>
      <c r="F38" s="41" t="s">
        <v>162</v>
      </c>
    </row>
    <row r="39" spans="1:6" ht="15.75" thickBot="1" x14ac:dyDescent="0.3">
      <c r="A39" s="39">
        <v>38962</v>
      </c>
      <c r="B39" s="40">
        <v>5524</v>
      </c>
      <c r="C39" s="41" t="s">
        <v>163</v>
      </c>
      <c r="D39" s="41" t="s">
        <v>156</v>
      </c>
      <c r="E39" s="41" t="s">
        <v>157</v>
      </c>
      <c r="F39" s="41" t="s">
        <v>158</v>
      </c>
    </row>
    <row r="40" spans="1:6" ht="15.75" thickBot="1" x14ac:dyDescent="0.3">
      <c r="A40" s="39">
        <v>38963</v>
      </c>
      <c r="B40" s="40">
        <v>5862</v>
      </c>
      <c r="C40" s="41" t="s">
        <v>166</v>
      </c>
      <c r="D40" s="41" t="s">
        <v>161</v>
      </c>
      <c r="E40" s="41" t="s">
        <v>167</v>
      </c>
      <c r="F40" s="41" t="s">
        <v>162</v>
      </c>
    </row>
    <row r="41" spans="1:6" ht="15.75" thickBot="1" x14ac:dyDescent="0.3">
      <c r="A41" s="39">
        <v>38963</v>
      </c>
      <c r="B41" s="40">
        <v>12592</v>
      </c>
      <c r="C41" s="41" t="s">
        <v>166</v>
      </c>
      <c r="D41" s="41" t="s">
        <v>161</v>
      </c>
      <c r="E41" s="41" t="s">
        <v>157</v>
      </c>
      <c r="F41" s="41" t="s">
        <v>158</v>
      </c>
    </row>
    <row r="42" spans="1:6" ht="15.75" thickBot="1" x14ac:dyDescent="0.3">
      <c r="A42" s="39">
        <v>38963</v>
      </c>
      <c r="B42" s="40">
        <v>7188</v>
      </c>
      <c r="C42" s="41" t="s">
        <v>163</v>
      </c>
      <c r="D42" s="41" t="s">
        <v>161</v>
      </c>
      <c r="E42" s="41" t="s">
        <v>169</v>
      </c>
      <c r="F42" s="41" t="s">
        <v>162</v>
      </c>
    </row>
    <row r="43" spans="1:6" ht="15.75" thickBot="1" x14ac:dyDescent="0.3">
      <c r="A43" s="39">
        <v>38963</v>
      </c>
      <c r="B43" s="40">
        <v>9159</v>
      </c>
      <c r="C43" s="41" t="s">
        <v>163</v>
      </c>
      <c r="D43" s="41" t="s">
        <v>161</v>
      </c>
      <c r="E43" s="41" t="s">
        <v>167</v>
      </c>
      <c r="F43" s="41" t="s">
        <v>162</v>
      </c>
    </row>
    <row r="44" spans="1:6" ht="15.75" thickBot="1" x14ac:dyDescent="0.3">
      <c r="A44" s="39">
        <v>38963</v>
      </c>
      <c r="B44" s="40">
        <v>9208</v>
      </c>
      <c r="C44" s="41" t="s">
        <v>163</v>
      </c>
      <c r="D44" s="41" t="s">
        <v>161</v>
      </c>
      <c r="E44" s="41" t="s">
        <v>157</v>
      </c>
      <c r="F44" s="41" t="s">
        <v>158</v>
      </c>
    </row>
    <row r="45" spans="1:6" ht="15.75" thickBot="1" x14ac:dyDescent="0.3">
      <c r="A45" s="39">
        <v>38963</v>
      </c>
      <c r="B45" s="40">
        <v>5756</v>
      </c>
      <c r="C45" s="41" t="s">
        <v>166</v>
      </c>
      <c r="D45" s="41" t="s">
        <v>161</v>
      </c>
      <c r="E45" s="41" t="s">
        <v>167</v>
      </c>
      <c r="F45" s="41" t="s">
        <v>158</v>
      </c>
    </row>
    <row r="46" spans="1:6" ht="15.75" thickBot="1" x14ac:dyDescent="0.3">
      <c r="A46" s="39">
        <v>38963</v>
      </c>
      <c r="B46" s="40">
        <v>14480</v>
      </c>
      <c r="C46" s="41" t="s">
        <v>163</v>
      </c>
      <c r="D46" s="41" t="s">
        <v>161</v>
      </c>
      <c r="E46" s="41" t="s">
        <v>157</v>
      </c>
      <c r="F46" s="41" t="s">
        <v>162</v>
      </c>
    </row>
    <row r="47" spans="1:6" ht="15.75" thickBot="1" x14ac:dyDescent="0.3">
      <c r="A47" s="39">
        <v>38963</v>
      </c>
      <c r="B47" s="40">
        <v>7028</v>
      </c>
      <c r="C47" s="41" t="s">
        <v>160</v>
      </c>
      <c r="D47" s="41" t="s">
        <v>156</v>
      </c>
      <c r="E47" s="41" t="s">
        <v>167</v>
      </c>
      <c r="F47" s="41" t="s">
        <v>162</v>
      </c>
    </row>
    <row r="48" spans="1:6" ht="15.75" thickBot="1" x14ac:dyDescent="0.3">
      <c r="A48" s="39">
        <v>38963</v>
      </c>
      <c r="B48" s="40">
        <v>9397</v>
      </c>
      <c r="C48" s="41" t="s">
        <v>163</v>
      </c>
      <c r="D48" s="41" t="s">
        <v>161</v>
      </c>
      <c r="E48" s="41" t="s">
        <v>167</v>
      </c>
      <c r="F48" s="41" t="s">
        <v>158</v>
      </c>
    </row>
    <row r="49" spans="1:6" ht="15.75" thickBot="1" x14ac:dyDescent="0.3">
      <c r="A49" s="39">
        <v>38963</v>
      </c>
      <c r="B49" s="40">
        <v>14067</v>
      </c>
      <c r="C49" s="41" t="s">
        <v>160</v>
      </c>
      <c r="D49" s="41" t="s">
        <v>156</v>
      </c>
      <c r="E49" s="41" t="s">
        <v>167</v>
      </c>
      <c r="F49" s="41" t="s">
        <v>162</v>
      </c>
    </row>
    <row r="50" spans="1:6" ht="15.75" thickBot="1" x14ac:dyDescent="0.3">
      <c r="A50" s="39">
        <v>38963</v>
      </c>
      <c r="B50" s="40">
        <v>500</v>
      </c>
      <c r="C50" s="41" t="s">
        <v>163</v>
      </c>
      <c r="D50" s="41" t="s">
        <v>161</v>
      </c>
      <c r="E50" s="41" t="s">
        <v>169</v>
      </c>
      <c r="F50" s="41" t="s">
        <v>158</v>
      </c>
    </row>
    <row r="51" spans="1:6" ht="15.75" thickBot="1" x14ac:dyDescent="0.3">
      <c r="A51" s="39">
        <v>38963</v>
      </c>
      <c r="B51" s="40">
        <v>12429</v>
      </c>
      <c r="C51" s="41" t="s">
        <v>160</v>
      </c>
      <c r="D51" s="41" t="s">
        <v>156</v>
      </c>
      <c r="E51" s="41" t="s">
        <v>169</v>
      </c>
      <c r="F51" s="41" t="s">
        <v>162</v>
      </c>
    </row>
    <row r="52" spans="1:6" ht="15.75" thickBot="1" x14ac:dyDescent="0.3">
      <c r="A52" s="39">
        <v>38963</v>
      </c>
      <c r="B52" s="40">
        <v>5538</v>
      </c>
      <c r="C52" s="41" t="s">
        <v>166</v>
      </c>
      <c r="D52" s="41" t="s">
        <v>156</v>
      </c>
      <c r="E52" s="41" t="s">
        <v>157</v>
      </c>
      <c r="F52" s="41" t="s">
        <v>158</v>
      </c>
    </row>
    <row r="53" spans="1:6" ht="15.75" thickBot="1" x14ac:dyDescent="0.3">
      <c r="A53" s="39">
        <v>38963</v>
      </c>
      <c r="B53" s="40">
        <v>12953</v>
      </c>
      <c r="C53" s="41" t="s">
        <v>166</v>
      </c>
      <c r="D53" s="41" t="s">
        <v>161</v>
      </c>
      <c r="E53" s="41" t="s">
        <v>157</v>
      </c>
      <c r="F53" s="41" t="s">
        <v>158</v>
      </c>
    </row>
    <row r="54" spans="1:6" ht="15.75" thickBot="1" x14ac:dyDescent="0.3">
      <c r="A54" s="39">
        <v>38963</v>
      </c>
      <c r="B54" s="40">
        <v>8190</v>
      </c>
      <c r="C54" s="41" t="s">
        <v>166</v>
      </c>
      <c r="D54" s="41" t="s">
        <v>156</v>
      </c>
      <c r="E54" s="41" t="s">
        <v>167</v>
      </c>
      <c r="F54" s="41" t="s">
        <v>158</v>
      </c>
    </row>
    <row r="55" spans="1:6" ht="15.75" thickBot="1" x14ac:dyDescent="0.3">
      <c r="A55" s="39">
        <v>38963</v>
      </c>
      <c r="B55" s="40">
        <v>4348</v>
      </c>
      <c r="C55" s="41" t="s">
        <v>166</v>
      </c>
      <c r="D55" s="41" t="s">
        <v>161</v>
      </c>
      <c r="E55" s="41" t="s">
        <v>157</v>
      </c>
      <c r="F55" s="41" t="s">
        <v>158</v>
      </c>
    </row>
    <row r="56" spans="1:6" ht="15.75" thickBot="1" x14ac:dyDescent="0.3">
      <c r="A56" s="39">
        <v>38963</v>
      </c>
      <c r="B56" s="40">
        <v>6071</v>
      </c>
      <c r="C56" s="41" t="s">
        <v>166</v>
      </c>
      <c r="D56" s="41" t="s">
        <v>161</v>
      </c>
      <c r="E56" s="41" t="s">
        <v>167</v>
      </c>
      <c r="F56" s="41" t="s">
        <v>158</v>
      </c>
    </row>
    <row r="57" spans="1:6" ht="15.75" thickBot="1" x14ac:dyDescent="0.3">
      <c r="A57" s="39">
        <v>38964</v>
      </c>
      <c r="B57" s="40">
        <v>13000</v>
      </c>
      <c r="C57" s="41" t="s">
        <v>160</v>
      </c>
      <c r="D57" s="41" t="s">
        <v>156</v>
      </c>
      <c r="E57" s="41" t="s">
        <v>167</v>
      </c>
      <c r="F57" s="41" t="s">
        <v>162</v>
      </c>
    </row>
    <row r="58" spans="1:6" ht="15.75" thickBot="1" x14ac:dyDescent="0.3">
      <c r="A58" s="39">
        <v>38964</v>
      </c>
      <c r="B58" s="40">
        <v>15000</v>
      </c>
      <c r="C58" s="41" t="s">
        <v>160</v>
      </c>
      <c r="D58" s="41" t="s">
        <v>156</v>
      </c>
      <c r="E58" s="41" t="s">
        <v>169</v>
      </c>
      <c r="F58" s="41" t="s">
        <v>162</v>
      </c>
    </row>
    <row r="59" spans="1:6" ht="15.75" thickBot="1" x14ac:dyDescent="0.3">
      <c r="A59" s="39">
        <v>38964</v>
      </c>
      <c r="B59" s="40">
        <v>12824</v>
      </c>
      <c r="C59" s="41" t="s">
        <v>160</v>
      </c>
      <c r="D59" s="41" t="s">
        <v>156</v>
      </c>
      <c r="E59" s="41" t="s">
        <v>169</v>
      </c>
      <c r="F59" s="41" t="s">
        <v>158</v>
      </c>
    </row>
    <row r="60" spans="1:6" ht="15.75" thickBot="1" x14ac:dyDescent="0.3">
      <c r="A60" s="39">
        <v>38964</v>
      </c>
      <c r="B60" s="40">
        <v>250</v>
      </c>
      <c r="C60" s="41" t="s">
        <v>163</v>
      </c>
      <c r="D60" s="41" t="s">
        <v>161</v>
      </c>
      <c r="E60" s="41" t="s">
        <v>167</v>
      </c>
      <c r="F60" s="41" t="s">
        <v>162</v>
      </c>
    </row>
    <row r="61" spans="1:6" ht="15.75" thickBot="1" x14ac:dyDescent="0.3">
      <c r="A61" s="39">
        <v>38964</v>
      </c>
      <c r="B61" s="40">
        <v>3000</v>
      </c>
      <c r="C61" s="41" t="s">
        <v>163</v>
      </c>
      <c r="D61" s="41" t="s">
        <v>156</v>
      </c>
      <c r="E61" s="41" t="s">
        <v>157</v>
      </c>
      <c r="F61" s="41" t="s">
        <v>158</v>
      </c>
    </row>
    <row r="62" spans="1:6" ht="15.75" thickBot="1" x14ac:dyDescent="0.3">
      <c r="A62" s="39">
        <v>38964</v>
      </c>
      <c r="B62" s="40">
        <v>9095</v>
      </c>
      <c r="C62" s="41" t="s">
        <v>155</v>
      </c>
      <c r="D62" s="41" t="s">
        <v>161</v>
      </c>
      <c r="E62" s="41" t="s">
        <v>157</v>
      </c>
      <c r="F62" s="41" t="s">
        <v>158</v>
      </c>
    </row>
    <row r="63" spans="1:6" ht="15.75" thickBot="1" x14ac:dyDescent="0.3">
      <c r="A63" s="39">
        <v>38964</v>
      </c>
      <c r="B63" s="40">
        <v>240</v>
      </c>
      <c r="C63" s="41" t="s">
        <v>163</v>
      </c>
      <c r="D63" s="41" t="s">
        <v>156</v>
      </c>
      <c r="E63" s="41" t="s">
        <v>157</v>
      </c>
      <c r="F63" s="41" t="s">
        <v>158</v>
      </c>
    </row>
    <row r="64" spans="1:6" ht="15.75" thickBot="1" x14ac:dyDescent="0.3">
      <c r="A64" s="39">
        <v>38964</v>
      </c>
      <c r="B64" s="40">
        <v>3075</v>
      </c>
      <c r="C64" s="41" t="s">
        <v>163</v>
      </c>
      <c r="D64" s="41" t="s">
        <v>156</v>
      </c>
      <c r="E64" s="41" t="s">
        <v>169</v>
      </c>
      <c r="F64" s="41" t="s">
        <v>158</v>
      </c>
    </row>
    <row r="65" spans="1:6" ht="15.75" thickBot="1" x14ac:dyDescent="0.3">
      <c r="A65" s="39">
        <v>38964</v>
      </c>
      <c r="B65" s="40">
        <v>4309</v>
      </c>
      <c r="C65" s="41" t="s">
        <v>166</v>
      </c>
      <c r="D65" s="41" t="s">
        <v>161</v>
      </c>
      <c r="E65" s="41" t="s">
        <v>157</v>
      </c>
      <c r="F65" s="41" t="s">
        <v>158</v>
      </c>
    </row>
    <row r="66" spans="1:6" ht="15.75" thickBot="1" x14ac:dyDescent="0.3">
      <c r="A66" s="39">
        <v>38964</v>
      </c>
      <c r="B66" s="40">
        <v>12000</v>
      </c>
      <c r="C66" s="41" t="s">
        <v>160</v>
      </c>
      <c r="D66" s="41" t="s">
        <v>156</v>
      </c>
      <c r="E66" s="41" t="s">
        <v>169</v>
      </c>
      <c r="F66" s="41" t="s">
        <v>158</v>
      </c>
    </row>
    <row r="67" spans="1:6" ht="15.75" thickBot="1" x14ac:dyDescent="0.3">
      <c r="A67" s="39">
        <v>38964</v>
      </c>
      <c r="B67" s="40">
        <v>4000</v>
      </c>
      <c r="C67" s="41" t="s">
        <v>163</v>
      </c>
      <c r="D67" s="41" t="s">
        <v>156</v>
      </c>
      <c r="E67" s="41" t="s">
        <v>157</v>
      </c>
      <c r="F67" s="41" t="s">
        <v>158</v>
      </c>
    </row>
    <row r="68" spans="1:6" ht="15.75" thickBot="1" x14ac:dyDescent="0.3">
      <c r="A68" s="39">
        <v>38964</v>
      </c>
      <c r="B68" s="40">
        <v>4000</v>
      </c>
      <c r="C68" s="41" t="s">
        <v>163</v>
      </c>
      <c r="D68" s="41" t="s">
        <v>156</v>
      </c>
      <c r="E68" s="41" t="s">
        <v>167</v>
      </c>
      <c r="F68" s="41" t="s">
        <v>158</v>
      </c>
    </row>
    <row r="69" spans="1:6" ht="15.75" thickBot="1" x14ac:dyDescent="0.3">
      <c r="A69" s="39">
        <v>38964</v>
      </c>
      <c r="B69" s="40">
        <v>2000</v>
      </c>
      <c r="C69" s="41" t="s">
        <v>155</v>
      </c>
      <c r="D69" s="41" t="s">
        <v>156</v>
      </c>
      <c r="E69" s="41" t="s">
        <v>169</v>
      </c>
      <c r="F69" s="41" t="s">
        <v>158</v>
      </c>
    </row>
    <row r="70" spans="1:6" ht="15.75" thickBot="1" x14ac:dyDescent="0.3">
      <c r="A70" s="39">
        <v>38964</v>
      </c>
      <c r="B70" s="40">
        <v>5025</v>
      </c>
      <c r="C70" s="41" t="s">
        <v>160</v>
      </c>
      <c r="D70" s="41" t="s">
        <v>156</v>
      </c>
      <c r="E70" s="41" t="s">
        <v>167</v>
      </c>
      <c r="F70" s="41" t="s">
        <v>162</v>
      </c>
    </row>
    <row r="71" spans="1:6" ht="15.75" thickBot="1" x14ac:dyDescent="0.3">
      <c r="A71" s="39">
        <v>38964</v>
      </c>
      <c r="B71" s="40">
        <v>65000</v>
      </c>
      <c r="C71" s="41" t="s">
        <v>166</v>
      </c>
      <c r="D71" s="41" t="s">
        <v>156</v>
      </c>
      <c r="E71" s="41" t="s">
        <v>169</v>
      </c>
      <c r="F71" s="41" t="s">
        <v>158</v>
      </c>
    </row>
    <row r="72" spans="1:6" ht="15.75" thickBot="1" x14ac:dyDescent="0.3">
      <c r="A72" s="39">
        <v>38964</v>
      </c>
      <c r="B72" s="40">
        <v>6307</v>
      </c>
      <c r="C72" s="41" t="s">
        <v>166</v>
      </c>
      <c r="D72" s="41" t="s">
        <v>161</v>
      </c>
      <c r="E72" s="41" t="s">
        <v>167</v>
      </c>
      <c r="F72" s="41" t="s">
        <v>158</v>
      </c>
    </row>
    <row r="73" spans="1:6" ht="15.75" thickBot="1" x14ac:dyDescent="0.3">
      <c r="A73" s="39">
        <v>38964</v>
      </c>
      <c r="B73" s="40">
        <v>5000</v>
      </c>
      <c r="C73" s="41" t="s">
        <v>163</v>
      </c>
      <c r="D73" s="41" t="s">
        <v>156</v>
      </c>
      <c r="E73" s="41" t="s">
        <v>167</v>
      </c>
      <c r="F73" s="41" t="s">
        <v>158</v>
      </c>
    </row>
    <row r="74" spans="1:6" ht="15.75" thickBot="1" x14ac:dyDescent="0.3">
      <c r="A74" s="39">
        <v>38964</v>
      </c>
      <c r="B74" s="40">
        <v>12203</v>
      </c>
      <c r="C74" s="41" t="s">
        <v>160</v>
      </c>
      <c r="D74" s="41" t="s">
        <v>156</v>
      </c>
      <c r="E74" s="41" t="s">
        <v>167</v>
      </c>
      <c r="F74" s="41" t="s">
        <v>158</v>
      </c>
    </row>
    <row r="75" spans="1:6" ht="15.75" thickBot="1" x14ac:dyDescent="0.3">
      <c r="A75" s="39">
        <v>38964</v>
      </c>
      <c r="B75" s="40">
        <v>6000</v>
      </c>
      <c r="C75" s="41" t="s">
        <v>166</v>
      </c>
      <c r="D75" s="41" t="s">
        <v>156</v>
      </c>
      <c r="E75" s="41" t="s">
        <v>157</v>
      </c>
      <c r="F75" s="41" t="s">
        <v>158</v>
      </c>
    </row>
    <row r="76" spans="1:6" ht="15.75" thickBot="1" x14ac:dyDescent="0.3">
      <c r="A76" s="39">
        <v>38964</v>
      </c>
      <c r="B76" s="40">
        <v>13215</v>
      </c>
      <c r="C76" s="41" t="s">
        <v>163</v>
      </c>
      <c r="D76" s="41" t="s">
        <v>161</v>
      </c>
      <c r="E76" s="41" t="s">
        <v>167</v>
      </c>
      <c r="F76" s="41" t="s">
        <v>158</v>
      </c>
    </row>
    <row r="77" spans="1:6" ht="15.75" thickBot="1" x14ac:dyDescent="0.3">
      <c r="A77" s="39">
        <v>38964</v>
      </c>
      <c r="B77" s="40">
        <v>35000</v>
      </c>
      <c r="C77" s="41" t="s">
        <v>160</v>
      </c>
      <c r="D77" s="41" t="s">
        <v>156</v>
      </c>
      <c r="E77" s="41" t="s">
        <v>157</v>
      </c>
      <c r="F77" s="41" t="s">
        <v>158</v>
      </c>
    </row>
    <row r="78" spans="1:6" ht="15.75" thickBot="1" x14ac:dyDescent="0.3">
      <c r="A78" s="39">
        <v>38964</v>
      </c>
      <c r="B78" s="40">
        <v>13000</v>
      </c>
      <c r="C78" s="41" t="s">
        <v>160</v>
      </c>
      <c r="D78" s="41" t="s">
        <v>156</v>
      </c>
      <c r="E78" s="41" t="s">
        <v>157</v>
      </c>
      <c r="F78" s="41" t="s">
        <v>158</v>
      </c>
    </row>
    <row r="79" spans="1:6" ht="15.75" thickBot="1" x14ac:dyDescent="0.3">
      <c r="A79" s="39">
        <v>38964</v>
      </c>
      <c r="B79" s="40">
        <v>14548</v>
      </c>
      <c r="C79" s="41" t="s">
        <v>160</v>
      </c>
      <c r="D79" s="41" t="s">
        <v>156</v>
      </c>
      <c r="E79" s="41" t="s">
        <v>157</v>
      </c>
      <c r="F79" s="41" t="s">
        <v>158</v>
      </c>
    </row>
    <row r="80" spans="1:6" ht="15.75" thickBot="1" x14ac:dyDescent="0.3">
      <c r="A80" s="39">
        <v>38964</v>
      </c>
      <c r="B80" s="40">
        <v>500</v>
      </c>
      <c r="C80" s="41" t="s">
        <v>163</v>
      </c>
      <c r="D80" s="41" t="s">
        <v>161</v>
      </c>
      <c r="E80" s="41" t="s">
        <v>157</v>
      </c>
      <c r="F80" s="41" t="s">
        <v>158</v>
      </c>
    </row>
    <row r="81" spans="1:6" ht="15.75" thickBot="1" x14ac:dyDescent="0.3">
      <c r="A81" s="39">
        <v>38964</v>
      </c>
      <c r="B81" s="40">
        <v>11000</v>
      </c>
      <c r="C81" s="41" t="s">
        <v>160</v>
      </c>
      <c r="D81" s="41" t="s">
        <v>156</v>
      </c>
      <c r="E81" s="41" t="s">
        <v>157</v>
      </c>
      <c r="F81" s="41" t="s">
        <v>162</v>
      </c>
    </row>
    <row r="82" spans="1:6" ht="15.75" thickBot="1" x14ac:dyDescent="0.3">
      <c r="A82" s="39">
        <v>38964</v>
      </c>
      <c r="B82" s="40">
        <v>2878</v>
      </c>
      <c r="C82" s="41" t="s">
        <v>166</v>
      </c>
      <c r="D82" s="41" t="s">
        <v>156</v>
      </c>
      <c r="E82" s="41" t="s">
        <v>167</v>
      </c>
      <c r="F82" s="41" t="s">
        <v>158</v>
      </c>
    </row>
    <row r="83" spans="1:6" ht="15.75" thickBot="1" x14ac:dyDescent="0.3">
      <c r="A83" s="39">
        <v>38964</v>
      </c>
      <c r="B83" s="40">
        <v>9000</v>
      </c>
      <c r="C83" s="41" t="s">
        <v>160</v>
      </c>
      <c r="D83" s="41" t="s">
        <v>161</v>
      </c>
      <c r="E83" s="41" t="s">
        <v>157</v>
      </c>
      <c r="F83" s="41" t="s">
        <v>158</v>
      </c>
    </row>
    <row r="84" spans="1:6" ht="15.75" thickBot="1" x14ac:dyDescent="0.3">
      <c r="A84" s="39">
        <v>38964</v>
      </c>
      <c r="B84" s="40">
        <v>240</v>
      </c>
      <c r="C84" s="41" t="s">
        <v>163</v>
      </c>
      <c r="D84" s="41" t="s">
        <v>156</v>
      </c>
      <c r="E84" s="41" t="s">
        <v>157</v>
      </c>
      <c r="F84" s="41" t="s">
        <v>158</v>
      </c>
    </row>
    <row r="85" spans="1:6" ht="15.75" thickBot="1" x14ac:dyDescent="0.3">
      <c r="A85" s="39">
        <v>38964</v>
      </c>
      <c r="B85" s="40">
        <v>50000</v>
      </c>
      <c r="C85" s="41" t="s">
        <v>160</v>
      </c>
      <c r="D85" s="41" t="s">
        <v>156</v>
      </c>
      <c r="E85" s="41" t="s">
        <v>167</v>
      </c>
      <c r="F85" s="41" t="s">
        <v>162</v>
      </c>
    </row>
    <row r="86" spans="1:6" ht="15.75" thickBot="1" x14ac:dyDescent="0.3">
      <c r="A86" s="39">
        <v>38964</v>
      </c>
      <c r="B86" s="40">
        <v>13519</v>
      </c>
      <c r="C86" s="41" t="s">
        <v>160</v>
      </c>
      <c r="D86" s="41" t="s">
        <v>156</v>
      </c>
      <c r="E86" s="41" t="s">
        <v>157</v>
      </c>
      <c r="F86" s="41" t="s">
        <v>162</v>
      </c>
    </row>
    <row r="87" spans="1:6" ht="15.75" thickBot="1" x14ac:dyDescent="0.3">
      <c r="A87" s="39">
        <v>38964</v>
      </c>
      <c r="B87" s="40">
        <v>14702</v>
      </c>
      <c r="C87" s="41" t="s">
        <v>160</v>
      </c>
      <c r="D87" s="41" t="s">
        <v>161</v>
      </c>
      <c r="E87" s="41" t="s">
        <v>167</v>
      </c>
      <c r="F87" s="41" t="s">
        <v>162</v>
      </c>
    </row>
    <row r="88" spans="1:6" ht="15.75" thickBot="1" x14ac:dyDescent="0.3">
      <c r="A88" s="39">
        <v>38965</v>
      </c>
      <c r="B88" s="40">
        <v>9705</v>
      </c>
      <c r="C88" s="41" t="s">
        <v>160</v>
      </c>
      <c r="D88" s="41" t="s">
        <v>156</v>
      </c>
      <c r="E88" s="41" t="s">
        <v>169</v>
      </c>
      <c r="F88" s="41" t="s">
        <v>162</v>
      </c>
    </row>
    <row r="89" spans="1:6" ht="15.75" thickBot="1" x14ac:dyDescent="0.3">
      <c r="A89" s="39">
        <v>38965</v>
      </c>
      <c r="B89" s="40">
        <v>11135</v>
      </c>
      <c r="C89" s="41" t="s">
        <v>160</v>
      </c>
      <c r="D89" s="41" t="s">
        <v>156</v>
      </c>
      <c r="E89" s="41" t="s">
        <v>157</v>
      </c>
      <c r="F89" s="41" t="s">
        <v>158</v>
      </c>
    </row>
    <row r="90" spans="1:6" ht="15.75" thickBot="1" x14ac:dyDescent="0.3">
      <c r="A90" s="39">
        <v>38965</v>
      </c>
      <c r="B90" s="40">
        <v>12000</v>
      </c>
      <c r="C90" s="41" t="s">
        <v>160</v>
      </c>
      <c r="D90" s="41" t="s">
        <v>161</v>
      </c>
      <c r="E90" s="41" t="s">
        <v>157</v>
      </c>
      <c r="F90" s="41" t="s">
        <v>158</v>
      </c>
    </row>
    <row r="91" spans="1:6" ht="15.75" thickBot="1" x14ac:dyDescent="0.3">
      <c r="A91" s="39">
        <v>38965</v>
      </c>
      <c r="B91" s="40">
        <v>1000</v>
      </c>
      <c r="C91" s="41" t="s">
        <v>163</v>
      </c>
      <c r="D91" s="41" t="s">
        <v>156</v>
      </c>
      <c r="E91" s="41" t="s">
        <v>157</v>
      </c>
      <c r="F91" s="41" t="s">
        <v>158</v>
      </c>
    </row>
    <row r="92" spans="1:6" ht="15.75" thickBot="1" x14ac:dyDescent="0.3">
      <c r="A92" s="39">
        <v>38965</v>
      </c>
      <c r="B92" s="40">
        <v>7434</v>
      </c>
      <c r="C92" s="41" t="s">
        <v>163</v>
      </c>
      <c r="D92" s="41" t="s">
        <v>161</v>
      </c>
      <c r="E92" s="41" t="s">
        <v>157</v>
      </c>
      <c r="F92" s="41" t="s">
        <v>158</v>
      </c>
    </row>
    <row r="93" spans="1:6" ht="15.75" thickBot="1" x14ac:dyDescent="0.3">
      <c r="A93" s="39">
        <v>38965</v>
      </c>
      <c r="B93" s="40">
        <v>3000</v>
      </c>
      <c r="C93" s="41" t="s">
        <v>163</v>
      </c>
      <c r="D93" s="41" t="s">
        <v>156</v>
      </c>
      <c r="E93" s="41" t="s">
        <v>157</v>
      </c>
      <c r="F93" s="41" t="s">
        <v>162</v>
      </c>
    </row>
    <row r="94" spans="1:6" ht="15.75" thickBot="1" x14ac:dyDescent="0.3">
      <c r="A94" s="39">
        <v>38965</v>
      </c>
      <c r="B94" s="40">
        <v>13500</v>
      </c>
      <c r="C94" s="41" t="s">
        <v>160</v>
      </c>
      <c r="D94" s="41" t="s">
        <v>156</v>
      </c>
      <c r="E94" s="41" t="s">
        <v>167</v>
      </c>
      <c r="F94" s="41" t="s">
        <v>158</v>
      </c>
    </row>
    <row r="95" spans="1:6" ht="15.75" thickBot="1" x14ac:dyDescent="0.3">
      <c r="A95" s="39">
        <v>38965</v>
      </c>
      <c r="B95" s="40">
        <v>8456</v>
      </c>
      <c r="C95" s="41" t="s">
        <v>160</v>
      </c>
      <c r="D95" s="41" t="s">
        <v>161</v>
      </c>
      <c r="E95" s="41" t="s">
        <v>157</v>
      </c>
      <c r="F95" s="41" t="s">
        <v>158</v>
      </c>
    </row>
    <row r="96" spans="1:6" ht="15.75" thickBot="1" x14ac:dyDescent="0.3">
      <c r="A96" s="39">
        <v>38965</v>
      </c>
      <c r="B96" s="40">
        <v>7770</v>
      </c>
      <c r="C96" s="41" t="s">
        <v>160</v>
      </c>
      <c r="D96" s="41" t="s">
        <v>156</v>
      </c>
      <c r="E96" s="41" t="s">
        <v>157</v>
      </c>
      <c r="F96" s="41" t="s">
        <v>158</v>
      </c>
    </row>
    <row r="97" spans="1:6" ht="15.75" thickBot="1" x14ac:dyDescent="0.3">
      <c r="A97" s="39">
        <v>38965</v>
      </c>
      <c r="B97" s="40">
        <v>4000</v>
      </c>
      <c r="C97" s="41" t="s">
        <v>163</v>
      </c>
      <c r="D97" s="41" t="s">
        <v>161</v>
      </c>
      <c r="E97" s="41" t="s">
        <v>167</v>
      </c>
      <c r="F97" s="41" t="s">
        <v>158</v>
      </c>
    </row>
    <row r="98" spans="1:6" ht="15.75" thickBot="1" x14ac:dyDescent="0.3">
      <c r="A98" s="39">
        <v>38965</v>
      </c>
      <c r="B98" s="40">
        <v>13000</v>
      </c>
      <c r="C98" s="41" t="s">
        <v>160</v>
      </c>
      <c r="D98" s="41" t="s">
        <v>161</v>
      </c>
      <c r="E98" s="41" t="s">
        <v>169</v>
      </c>
      <c r="F98" s="41" t="s">
        <v>158</v>
      </c>
    </row>
    <row r="99" spans="1:6" ht="15.75" thickBot="1" x14ac:dyDescent="0.3">
      <c r="A99" s="39">
        <v>38965</v>
      </c>
      <c r="B99" s="40">
        <v>100</v>
      </c>
      <c r="C99" s="41" t="s">
        <v>163</v>
      </c>
      <c r="D99" s="41" t="s">
        <v>156</v>
      </c>
      <c r="E99" s="41" t="s">
        <v>167</v>
      </c>
      <c r="F99" s="41" t="s">
        <v>158</v>
      </c>
    </row>
    <row r="100" spans="1:6" ht="15.75" thickBot="1" x14ac:dyDescent="0.3">
      <c r="A100" s="39">
        <v>38965</v>
      </c>
      <c r="B100" s="40">
        <v>12310</v>
      </c>
      <c r="C100" s="41" t="s">
        <v>166</v>
      </c>
      <c r="D100" s="41" t="s">
        <v>156</v>
      </c>
      <c r="E100" s="41" t="s">
        <v>169</v>
      </c>
      <c r="F100" s="41" t="s">
        <v>162</v>
      </c>
    </row>
    <row r="101" spans="1:6" ht="15.75" thickBot="1" x14ac:dyDescent="0.3">
      <c r="A101" s="39">
        <v>38965</v>
      </c>
      <c r="B101" s="40">
        <v>3715</v>
      </c>
      <c r="C101" s="41" t="s">
        <v>163</v>
      </c>
      <c r="D101" s="41" t="s">
        <v>156</v>
      </c>
      <c r="E101" s="41" t="s">
        <v>157</v>
      </c>
      <c r="F101" s="41" t="s">
        <v>158</v>
      </c>
    </row>
    <row r="102" spans="1:6" ht="15.75" thickBot="1" x14ac:dyDescent="0.3">
      <c r="A102" s="39">
        <v>38965</v>
      </c>
      <c r="B102" s="40">
        <v>4231</v>
      </c>
      <c r="C102" s="41" t="s">
        <v>163</v>
      </c>
      <c r="D102" s="41" t="s">
        <v>161</v>
      </c>
      <c r="E102" s="41" t="s">
        <v>157</v>
      </c>
      <c r="F102" s="41" t="s">
        <v>162</v>
      </c>
    </row>
    <row r="103" spans="1:6" ht="15.75" thickBot="1" x14ac:dyDescent="0.3">
      <c r="A103" s="39">
        <v>38965</v>
      </c>
      <c r="B103" s="40">
        <v>100</v>
      </c>
      <c r="C103" s="41" t="s">
        <v>163</v>
      </c>
      <c r="D103" s="41" t="s">
        <v>156</v>
      </c>
      <c r="E103" s="41" t="s">
        <v>157</v>
      </c>
      <c r="F103" s="41" t="s">
        <v>158</v>
      </c>
    </row>
    <row r="104" spans="1:6" ht="15.75" thickBot="1" x14ac:dyDescent="0.3">
      <c r="A104" s="39">
        <v>38965</v>
      </c>
      <c r="B104" s="40">
        <v>3644</v>
      </c>
      <c r="C104" s="41" t="s">
        <v>163</v>
      </c>
      <c r="D104" s="41" t="s">
        <v>156</v>
      </c>
      <c r="E104" s="41" t="s">
        <v>157</v>
      </c>
      <c r="F104" s="41" t="s">
        <v>158</v>
      </c>
    </row>
    <row r="105" spans="1:6" ht="15.75" thickBot="1" x14ac:dyDescent="0.3">
      <c r="A105" s="39">
        <v>38965</v>
      </c>
      <c r="B105" s="40">
        <v>5701</v>
      </c>
      <c r="C105" s="41" t="s">
        <v>166</v>
      </c>
      <c r="D105" s="41" t="s">
        <v>161</v>
      </c>
      <c r="E105" s="41" t="s">
        <v>157</v>
      </c>
      <c r="F105" s="41" t="s">
        <v>162</v>
      </c>
    </row>
    <row r="106" spans="1:6" ht="15.75" thickBot="1" x14ac:dyDescent="0.3">
      <c r="A106" s="39">
        <v>38965</v>
      </c>
      <c r="B106" s="40">
        <v>3559</v>
      </c>
      <c r="C106" s="41" t="s">
        <v>166</v>
      </c>
      <c r="D106" s="41" t="s">
        <v>161</v>
      </c>
      <c r="E106" s="41" t="s">
        <v>157</v>
      </c>
      <c r="F106" s="41" t="s">
        <v>158</v>
      </c>
    </row>
    <row r="107" spans="1:6" ht="15.75" thickBot="1" x14ac:dyDescent="0.3">
      <c r="A107" s="39">
        <v>38965</v>
      </c>
      <c r="B107" s="40">
        <v>5000</v>
      </c>
      <c r="C107" s="41" t="s">
        <v>163</v>
      </c>
      <c r="D107" s="41" t="s">
        <v>156</v>
      </c>
      <c r="E107" s="41" t="s">
        <v>167</v>
      </c>
      <c r="F107" s="41" t="s">
        <v>158</v>
      </c>
    </row>
    <row r="108" spans="1:6" ht="15.75" thickBot="1" x14ac:dyDescent="0.3">
      <c r="A108" s="39">
        <v>38965</v>
      </c>
      <c r="B108" s="40">
        <v>275</v>
      </c>
      <c r="C108" s="41" t="s">
        <v>163</v>
      </c>
      <c r="D108" s="41" t="s">
        <v>161</v>
      </c>
      <c r="E108" s="41" t="s">
        <v>167</v>
      </c>
      <c r="F108" s="41" t="s">
        <v>158</v>
      </c>
    </row>
    <row r="109" spans="1:6" ht="15.75" thickBot="1" x14ac:dyDescent="0.3">
      <c r="A109" s="39">
        <v>38965</v>
      </c>
      <c r="B109" s="40">
        <v>11761</v>
      </c>
      <c r="C109" s="41" t="s">
        <v>160</v>
      </c>
      <c r="D109" s="41" t="s">
        <v>156</v>
      </c>
      <c r="E109" s="41" t="s">
        <v>157</v>
      </c>
      <c r="F109" s="41" t="s">
        <v>162</v>
      </c>
    </row>
    <row r="110" spans="1:6" ht="15.75" thickBot="1" x14ac:dyDescent="0.3">
      <c r="A110" s="39">
        <v>38965</v>
      </c>
      <c r="B110" s="40">
        <v>45000</v>
      </c>
      <c r="C110" s="41" t="s">
        <v>160</v>
      </c>
      <c r="D110" s="41" t="s">
        <v>156</v>
      </c>
      <c r="E110" s="41" t="s">
        <v>169</v>
      </c>
      <c r="F110" s="41" t="s">
        <v>158</v>
      </c>
    </row>
    <row r="111" spans="1:6" ht="15.75" thickBot="1" x14ac:dyDescent="0.3">
      <c r="A111" s="39">
        <v>38965</v>
      </c>
      <c r="B111" s="40">
        <v>1000</v>
      </c>
      <c r="C111" s="41" t="s">
        <v>166</v>
      </c>
      <c r="D111" s="41" t="s">
        <v>161</v>
      </c>
      <c r="E111" s="41" t="s">
        <v>167</v>
      </c>
      <c r="F111" s="41" t="s">
        <v>158</v>
      </c>
    </row>
    <row r="112" spans="1:6" ht="15.75" thickBot="1" x14ac:dyDescent="0.3">
      <c r="A112" s="39">
        <v>38965</v>
      </c>
      <c r="B112" s="40">
        <v>200</v>
      </c>
      <c r="C112" s="41" t="s">
        <v>163</v>
      </c>
      <c r="D112" s="41" t="s">
        <v>156</v>
      </c>
      <c r="E112" s="41" t="s">
        <v>169</v>
      </c>
      <c r="F112" s="41" t="s">
        <v>158</v>
      </c>
    </row>
    <row r="113" spans="1:6" ht="15.75" thickBot="1" x14ac:dyDescent="0.3">
      <c r="A113" s="39">
        <v>38965</v>
      </c>
      <c r="B113" s="40">
        <v>3000</v>
      </c>
      <c r="C113" s="41" t="s">
        <v>163</v>
      </c>
      <c r="D113" s="41" t="s">
        <v>156</v>
      </c>
      <c r="E113" s="41" t="s">
        <v>167</v>
      </c>
      <c r="F113" s="41" t="s">
        <v>162</v>
      </c>
    </row>
    <row r="114" spans="1:6" ht="15.75" thickBot="1" x14ac:dyDescent="0.3">
      <c r="A114" s="39">
        <v>38965</v>
      </c>
      <c r="B114" s="40">
        <v>10135</v>
      </c>
      <c r="C114" s="41" t="s">
        <v>166</v>
      </c>
      <c r="D114" s="41" t="s">
        <v>161</v>
      </c>
      <c r="E114" s="41" t="s">
        <v>157</v>
      </c>
      <c r="F114" s="41" t="s">
        <v>162</v>
      </c>
    </row>
    <row r="115" spans="1:6" ht="15.75" thickBot="1" x14ac:dyDescent="0.3">
      <c r="A115" s="39">
        <v>38965</v>
      </c>
      <c r="B115" s="40">
        <v>7000</v>
      </c>
      <c r="C115" s="41" t="s">
        <v>155</v>
      </c>
      <c r="D115" s="41" t="s">
        <v>156</v>
      </c>
      <c r="E115" s="41" t="s">
        <v>167</v>
      </c>
      <c r="F115" s="41" t="s">
        <v>158</v>
      </c>
    </row>
    <row r="116" spans="1:6" ht="15.75" thickBot="1" x14ac:dyDescent="0.3">
      <c r="A116" s="39">
        <v>38965</v>
      </c>
      <c r="B116" s="40">
        <v>5807</v>
      </c>
      <c r="C116" s="41" t="s">
        <v>160</v>
      </c>
      <c r="D116" s="41" t="s">
        <v>156</v>
      </c>
      <c r="E116" s="41" t="s">
        <v>167</v>
      </c>
      <c r="F116" s="41" t="s">
        <v>162</v>
      </c>
    </row>
    <row r="117" spans="1:6" ht="15.75" thickBot="1" x14ac:dyDescent="0.3">
      <c r="A117" s="39">
        <v>38965</v>
      </c>
      <c r="B117" s="40">
        <v>17000</v>
      </c>
      <c r="C117" s="41" t="s">
        <v>160</v>
      </c>
      <c r="D117" s="41" t="s">
        <v>156</v>
      </c>
      <c r="E117" s="41" t="s">
        <v>169</v>
      </c>
      <c r="F117" s="41" t="s">
        <v>158</v>
      </c>
    </row>
    <row r="118" spans="1:6" ht="15.75" thickBot="1" x14ac:dyDescent="0.3">
      <c r="A118" s="39">
        <v>38965</v>
      </c>
      <c r="B118" s="40">
        <v>7839</v>
      </c>
      <c r="C118" s="41" t="s">
        <v>160</v>
      </c>
      <c r="D118" s="41" t="s">
        <v>161</v>
      </c>
      <c r="E118" s="41" t="s">
        <v>157</v>
      </c>
      <c r="F118" s="41" t="s">
        <v>158</v>
      </c>
    </row>
    <row r="119" spans="1:6" ht="15.75" thickBot="1" x14ac:dyDescent="0.3">
      <c r="A119" s="39">
        <v>38965</v>
      </c>
      <c r="B119" s="40">
        <v>10612</v>
      </c>
      <c r="C119" s="41" t="s">
        <v>166</v>
      </c>
      <c r="D119" s="41" t="s">
        <v>156</v>
      </c>
      <c r="E119" s="41" t="s">
        <v>167</v>
      </c>
      <c r="F119" s="41" t="s">
        <v>158</v>
      </c>
    </row>
    <row r="120" spans="1:6" ht="15.75" thickBot="1" x14ac:dyDescent="0.3">
      <c r="A120" s="39">
        <v>38965</v>
      </c>
      <c r="B120" s="40">
        <v>200</v>
      </c>
      <c r="C120" s="41" t="s">
        <v>163</v>
      </c>
      <c r="D120" s="41" t="s">
        <v>161</v>
      </c>
      <c r="E120" s="41" t="s">
        <v>169</v>
      </c>
      <c r="F120" s="41" t="s">
        <v>158</v>
      </c>
    </row>
    <row r="121" spans="1:6" ht="15.75" thickBot="1" x14ac:dyDescent="0.3">
      <c r="A121" s="39">
        <v>38966</v>
      </c>
      <c r="B121" s="40">
        <v>400</v>
      </c>
      <c r="C121" s="41" t="s">
        <v>163</v>
      </c>
      <c r="D121" s="41" t="s">
        <v>161</v>
      </c>
      <c r="E121" s="41" t="s">
        <v>157</v>
      </c>
      <c r="F121" s="41" t="s">
        <v>158</v>
      </c>
    </row>
    <row r="122" spans="1:6" ht="15.75" thickBot="1" x14ac:dyDescent="0.3">
      <c r="A122" s="39">
        <v>38966</v>
      </c>
      <c r="B122" s="40">
        <v>14158</v>
      </c>
      <c r="C122" s="41" t="s">
        <v>163</v>
      </c>
      <c r="D122" s="41" t="s">
        <v>156</v>
      </c>
      <c r="E122" s="41" t="s">
        <v>169</v>
      </c>
      <c r="F122" s="41" t="s">
        <v>162</v>
      </c>
    </row>
    <row r="123" spans="1:6" ht="15.75" thickBot="1" x14ac:dyDescent="0.3">
      <c r="A123" s="39">
        <v>38966</v>
      </c>
      <c r="B123" s="40">
        <v>6762</v>
      </c>
      <c r="C123" s="41" t="s">
        <v>166</v>
      </c>
      <c r="D123" s="41" t="s">
        <v>156</v>
      </c>
      <c r="E123" s="41" t="s">
        <v>157</v>
      </c>
      <c r="F123" s="41" t="s">
        <v>158</v>
      </c>
    </row>
    <row r="124" spans="1:6" ht="15.75" thickBot="1" x14ac:dyDescent="0.3">
      <c r="A124" s="39">
        <v>38966</v>
      </c>
      <c r="B124" s="40">
        <v>11719</v>
      </c>
      <c r="C124" s="41" t="s">
        <v>163</v>
      </c>
      <c r="D124" s="41" t="s">
        <v>156</v>
      </c>
      <c r="E124" s="41" t="s">
        <v>169</v>
      </c>
      <c r="F124" s="41" t="s">
        <v>158</v>
      </c>
    </row>
    <row r="125" spans="1:6" ht="15.75" thickBot="1" x14ac:dyDescent="0.3">
      <c r="A125" s="39">
        <v>38966</v>
      </c>
      <c r="B125" s="40">
        <v>500</v>
      </c>
      <c r="C125" s="41" t="s">
        <v>166</v>
      </c>
      <c r="D125" s="41" t="s">
        <v>156</v>
      </c>
      <c r="E125" s="41" t="s">
        <v>169</v>
      </c>
      <c r="F125" s="41" t="s">
        <v>158</v>
      </c>
    </row>
    <row r="126" spans="1:6" ht="15.75" thickBot="1" x14ac:dyDescent="0.3">
      <c r="A126" s="39">
        <v>38966</v>
      </c>
      <c r="B126" s="40">
        <v>5000</v>
      </c>
      <c r="C126" s="41" t="s">
        <v>160</v>
      </c>
      <c r="D126" s="41" t="s">
        <v>156</v>
      </c>
      <c r="E126" s="41" t="s">
        <v>167</v>
      </c>
      <c r="F126" s="41" t="s">
        <v>158</v>
      </c>
    </row>
    <row r="127" spans="1:6" ht="15.75" thickBot="1" x14ac:dyDescent="0.3">
      <c r="A127" s="39">
        <v>38966</v>
      </c>
      <c r="B127" s="40">
        <v>11552</v>
      </c>
      <c r="C127" s="41" t="s">
        <v>160</v>
      </c>
      <c r="D127" s="41" t="s">
        <v>156</v>
      </c>
      <c r="E127" s="41" t="s">
        <v>167</v>
      </c>
      <c r="F127" s="41" t="s">
        <v>162</v>
      </c>
    </row>
    <row r="128" spans="1:6" ht="15.75" thickBot="1" x14ac:dyDescent="0.3">
      <c r="A128" s="39">
        <v>38966</v>
      </c>
      <c r="B128" s="40">
        <v>7342</v>
      </c>
      <c r="C128" s="41" t="s">
        <v>163</v>
      </c>
      <c r="D128" s="41" t="s">
        <v>156</v>
      </c>
      <c r="E128" s="41" t="s">
        <v>157</v>
      </c>
      <c r="F128" s="41" t="s">
        <v>158</v>
      </c>
    </row>
    <row r="129" spans="1:6" ht="15.75" thickBot="1" x14ac:dyDescent="0.3">
      <c r="A129" s="39">
        <v>38966</v>
      </c>
      <c r="B129" s="40">
        <v>90000</v>
      </c>
      <c r="C129" s="41" t="s">
        <v>160</v>
      </c>
      <c r="D129" s="41" t="s">
        <v>156</v>
      </c>
      <c r="E129" s="41" t="s">
        <v>157</v>
      </c>
      <c r="F129" s="41" t="s">
        <v>158</v>
      </c>
    </row>
    <row r="130" spans="1:6" ht="15.75" thickBot="1" x14ac:dyDescent="0.3">
      <c r="A130" s="39">
        <v>38966</v>
      </c>
      <c r="B130" s="40">
        <v>11828</v>
      </c>
      <c r="C130" s="41" t="s">
        <v>160</v>
      </c>
      <c r="D130" s="41" t="s">
        <v>156</v>
      </c>
      <c r="E130" s="41" t="s">
        <v>157</v>
      </c>
      <c r="F130" s="41" t="s">
        <v>162</v>
      </c>
    </row>
    <row r="131" spans="1:6" ht="15.75" thickBot="1" x14ac:dyDescent="0.3">
      <c r="A131" s="39">
        <v>38966</v>
      </c>
      <c r="B131" s="40">
        <v>14644</v>
      </c>
      <c r="C131" s="41" t="s">
        <v>160</v>
      </c>
      <c r="D131" s="41" t="s">
        <v>156</v>
      </c>
      <c r="E131" s="41" t="s">
        <v>169</v>
      </c>
      <c r="F131" s="41" t="s">
        <v>162</v>
      </c>
    </row>
    <row r="132" spans="1:6" ht="15.75" thickBot="1" x14ac:dyDescent="0.3">
      <c r="A132" s="39">
        <v>38966</v>
      </c>
      <c r="B132" s="40">
        <v>3820</v>
      </c>
      <c r="C132" s="41" t="s">
        <v>163</v>
      </c>
      <c r="D132" s="41" t="s">
        <v>156</v>
      </c>
      <c r="E132" s="41" t="s">
        <v>167</v>
      </c>
      <c r="F132" s="41" t="s">
        <v>158</v>
      </c>
    </row>
    <row r="133" spans="1:6" ht="15.75" thickBot="1" x14ac:dyDescent="0.3">
      <c r="A133" s="39">
        <v>38966</v>
      </c>
      <c r="B133" s="40">
        <v>100</v>
      </c>
      <c r="C133" s="41" t="s">
        <v>163</v>
      </c>
      <c r="D133" s="41" t="s">
        <v>156</v>
      </c>
      <c r="E133" s="41" t="s">
        <v>157</v>
      </c>
      <c r="F133" s="41" t="s">
        <v>158</v>
      </c>
    </row>
    <row r="134" spans="1:6" ht="15.75" thickBot="1" x14ac:dyDescent="0.3">
      <c r="A134" s="39">
        <v>38966</v>
      </c>
      <c r="B134" s="40">
        <v>10000</v>
      </c>
      <c r="C134" s="41" t="s">
        <v>155</v>
      </c>
      <c r="D134" s="41" t="s">
        <v>161</v>
      </c>
      <c r="E134" s="41" t="s">
        <v>167</v>
      </c>
      <c r="F134" s="41" t="s">
        <v>158</v>
      </c>
    </row>
    <row r="135" spans="1:6" ht="15.75" thickBot="1" x14ac:dyDescent="0.3">
      <c r="A135" s="39">
        <v>38966</v>
      </c>
      <c r="B135" s="40">
        <v>15208</v>
      </c>
      <c r="C135" s="41" t="s">
        <v>160</v>
      </c>
      <c r="D135" s="41" t="s">
        <v>156</v>
      </c>
      <c r="E135" s="41" t="s">
        <v>157</v>
      </c>
      <c r="F135" s="41" t="s">
        <v>158</v>
      </c>
    </row>
    <row r="136" spans="1:6" ht="15.75" thickBot="1" x14ac:dyDescent="0.3">
      <c r="A136" s="39">
        <v>38966</v>
      </c>
      <c r="B136" s="40">
        <v>7777</v>
      </c>
      <c r="C136" s="41" t="s">
        <v>163</v>
      </c>
      <c r="D136" s="41" t="s">
        <v>161</v>
      </c>
      <c r="E136" s="41" t="s">
        <v>169</v>
      </c>
      <c r="F136" s="41" t="s">
        <v>158</v>
      </c>
    </row>
    <row r="137" spans="1:6" ht="15.75" thickBot="1" x14ac:dyDescent="0.3">
      <c r="A137" s="39">
        <v>38966</v>
      </c>
      <c r="B137" s="40">
        <v>13574</v>
      </c>
      <c r="C137" s="41" t="s">
        <v>166</v>
      </c>
      <c r="D137" s="41" t="s">
        <v>156</v>
      </c>
      <c r="E137" s="41" t="s">
        <v>157</v>
      </c>
      <c r="F137" s="41" t="s">
        <v>162</v>
      </c>
    </row>
    <row r="138" spans="1:6" ht="15.75" thickBot="1" x14ac:dyDescent="0.3">
      <c r="A138" s="39">
        <v>38966</v>
      </c>
      <c r="B138" s="40">
        <v>7000</v>
      </c>
      <c r="C138" s="41" t="s">
        <v>166</v>
      </c>
      <c r="D138" s="41" t="s">
        <v>156</v>
      </c>
      <c r="E138" s="41" t="s">
        <v>167</v>
      </c>
      <c r="F138" s="41" t="s">
        <v>162</v>
      </c>
    </row>
    <row r="139" spans="1:6" ht="15.75" thickBot="1" x14ac:dyDescent="0.3">
      <c r="A139" s="39">
        <v>38966</v>
      </c>
      <c r="B139" s="40">
        <v>8371</v>
      </c>
      <c r="C139" s="41" t="s">
        <v>166</v>
      </c>
      <c r="D139" s="41" t="s">
        <v>161</v>
      </c>
      <c r="E139" s="41" t="s">
        <v>157</v>
      </c>
      <c r="F139" s="41" t="s">
        <v>162</v>
      </c>
    </row>
    <row r="140" spans="1:6" ht="15.75" thickBot="1" x14ac:dyDescent="0.3">
      <c r="A140" s="39">
        <v>38966</v>
      </c>
      <c r="B140" s="40">
        <v>12455</v>
      </c>
      <c r="C140" s="41" t="s">
        <v>155</v>
      </c>
      <c r="D140" s="41" t="s">
        <v>161</v>
      </c>
      <c r="E140" s="41" t="s">
        <v>167</v>
      </c>
      <c r="F140" s="41" t="s">
        <v>158</v>
      </c>
    </row>
    <row r="141" spans="1:6" ht="15.75" thickBot="1" x14ac:dyDescent="0.3">
      <c r="A141" s="39">
        <v>38966</v>
      </c>
      <c r="B141" s="40">
        <v>13669</v>
      </c>
      <c r="C141" s="41" t="s">
        <v>160</v>
      </c>
      <c r="D141" s="41" t="s">
        <v>161</v>
      </c>
      <c r="E141" s="41" t="s">
        <v>157</v>
      </c>
      <c r="F141" s="41" t="s">
        <v>162</v>
      </c>
    </row>
    <row r="142" spans="1:6" ht="15.75" thickBot="1" x14ac:dyDescent="0.3">
      <c r="A142" s="39">
        <v>38966</v>
      </c>
      <c r="B142" s="40">
        <v>200</v>
      </c>
      <c r="C142" s="41" t="s">
        <v>166</v>
      </c>
      <c r="D142" s="41" t="s">
        <v>161</v>
      </c>
      <c r="E142" s="41" t="s">
        <v>157</v>
      </c>
      <c r="F142" s="41" t="s">
        <v>158</v>
      </c>
    </row>
    <row r="143" spans="1:6" ht="15.75" thickBot="1" x14ac:dyDescent="0.3">
      <c r="A143" s="39">
        <v>38966</v>
      </c>
      <c r="B143" s="40">
        <v>5221</v>
      </c>
      <c r="C143" s="41" t="s">
        <v>163</v>
      </c>
      <c r="D143" s="41" t="s">
        <v>161</v>
      </c>
      <c r="E143" s="41" t="s">
        <v>157</v>
      </c>
      <c r="F143" s="41" t="s">
        <v>162</v>
      </c>
    </row>
    <row r="144" spans="1:6" ht="15.75" thickBot="1" x14ac:dyDescent="0.3">
      <c r="A144" s="39">
        <v>38966</v>
      </c>
      <c r="B144" s="40">
        <v>12000</v>
      </c>
      <c r="C144" s="41" t="s">
        <v>160</v>
      </c>
      <c r="D144" s="41" t="s">
        <v>156</v>
      </c>
      <c r="E144" s="41" t="s">
        <v>167</v>
      </c>
      <c r="F144" s="41" t="s">
        <v>158</v>
      </c>
    </row>
    <row r="145" spans="1:6" ht="15.75" thickBot="1" x14ac:dyDescent="0.3">
      <c r="A145" s="39">
        <v>38966</v>
      </c>
      <c r="B145" s="40">
        <v>3807</v>
      </c>
      <c r="C145" s="41" t="s">
        <v>163</v>
      </c>
      <c r="D145" s="41" t="s">
        <v>156</v>
      </c>
      <c r="E145" s="41" t="s">
        <v>169</v>
      </c>
      <c r="F145" s="41" t="s">
        <v>158</v>
      </c>
    </row>
    <row r="146" spans="1:6" ht="15.75" thickBot="1" x14ac:dyDescent="0.3">
      <c r="A146" s="39">
        <v>38966</v>
      </c>
      <c r="B146" s="40">
        <v>14841</v>
      </c>
      <c r="C146" s="41" t="s">
        <v>160</v>
      </c>
      <c r="D146" s="41" t="s">
        <v>161</v>
      </c>
      <c r="E146" s="41" t="s">
        <v>167</v>
      </c>
      <c r="F146" s="41" t="s">
        <v>158</v>
      </c>
    </row>
    <row r="147" spans="1:6" ht="15.75" thickBot="1" x14ac:dyDescent="0.3">
      <c r="A147" s="39">
        <v>38966</v>
      </c>
      <c r="B147" s="40">
        <v>10056</v>
      </c>
      <c r="C147" s="41" t="s">
        <v>163</v>
      </c>
      <c r="D147" s="41" t="s">
        <v>161</v>
      </c>
      <c r="E147" s="41" t="s">
        <v>167</v>
      </c>
      <c r="F147" s="41" t="s">
        <v>162</v>
      </c>
    </row>
    <row r="148" spans="1:6" ht="15.75" thickBot="1" x14ac:dyDescent="0.3">
      <c r="A148" s="39">
        <v>38966</v>
      </c>
      <c r="B148" s="40">
        <v>10219</v>
      </c>
      <c r="C148" s="41" t="s">
        <v>163</v>
      </c>
      <c r="D148" s="41" t="s">
        <v>156</v>
      </c>
      <c r="E148" s="41" t="s">
        <v>157</v>
      </c>
      <c r="F148" s="41" t="s">
        <v>158</v>
      </c>
    </row>
    <row r="149" spans="1:6" ht="15.75" thickBot="1" x14ac:dyDescent="0.3">
      <c r="A149" s="39">
        <v>38966</v>
      </c>
      <c r="B149" s="40">
        <v>133</v>
      </c>
      <c r="C149" s="41" t="s">
        <v>163</v>
      </c>
      <c r="D149" s="41" t="s">
        <v>156</v>
      </c>
      <c r="E149" s="41" t="s">
        <v>169</v>
      </c>
      <c r="F149" s="41" t="s">
        <v>158</v>
      </c>
    </row>
    <row r="150" spans="1:6" ht="15.75" thickBot="1" x14ac:dyDescent="0.3">
      <c r="A150" s="39">
        <v>38966</v>
      </c>
      <c r="B150" s="40">
        <v>5000</v>
      </c>
      <c r="C150" s="41" t="s">
        <v>166</v>
      </c>
      <c r="D150" s="41" t="s">
        <v>156</v>
      </c>
      <c r="E150" s="41" t="s">
        <v>167</v>
      </c>
      <c r="F150" s="41" t="s">
        <v>158</v>
      </c>
    </row>
    <row r="151" spans="1:6" ht="15.75" thickBot="1" x14ac:dyDescent="0.3">
      <c r="A151" s="39">
        <v>38966</v>
      </c>
      <c r="B151" s="40">
        <v>124</v>
      </c>
      <c r="C151" s="41" t="s">
        <v>163</v>
      </c>
      <c r="D151" s="41" t="s">
        <v>161</v>
      </c>
      <c r="E151" s="41" t="s">
        <v>157</v>
      </c>
      <c r="F151" s="41" t="s">
        <v>158</v>
      </c>
    </row>
    <row r="152" spans="1:6" ht="15.75" thickBot="1" x14ac:dyDescent="0.3">
      <c r="A152" s="39">
        <v>38966</v>
      </c>
      <c r="B152" s="40">
        <v>5000</v>
      </c>
      <c r="C152" s="41" t="s">
        <v>160</v>
      </c>
      <c r="D152" s="41" t="s">
        <v>156</v>
      </c>
      <c r="E152" s="41" t="s">
        <v>157</v>
      </c>
      <c r="F152" s="41" t="s">
        <v>162</v>
      </c>
    </row>
    <row r="153" spans="1:6" ht="15.75" thickBot="1" x14ac:dyDescent="0.3">
      <c r="A153" s="39">
        <v>38967</v>
      </c>
      <c r="B153" s="40">
        <v>4005</v>
      </c>
      <c r="C153" s="41" t="s">
        <v>160</v>
      </c>
      <c r="D153" s="41" t="s">
        <v>161</v>
      </c>
      <c r="E153" s="41" t="s">
        <v>169</v>
      </c>
      <c r="F153" s="41" t="s">
        <v>158</v>
      </c>
    </row>
    <row r="154" spans="1:6" ht="15.75" thickBot="1" x14ac:dyDescent="0.3">
      <c r="A154" s="39">
        <v>38967</v>
      </c>
      <c r="B154" s="40">
        <v>13519</v>
      </c>
      <c r="C154" s="41" t="s">
        <v>160</v>
      </c>
      <c r="D154" s="41" t="s">
        <v>156</v>
      </c>
      <c r="E154" s="41" t="s">
        <v>157</v>
      </c>
      <c r="F154" s="41" t="s">
        <v>158</v>
      </c>
    </row>
    <row r="155" spans="1:6" ht="15.75" thickBot="1" x14ac:dyDescent="0.3">
      <c r="A155" s="39">
        <v>38967</v>
      </c>
      <c r="B155" s="40">
        <v>4405</v>
      </c>
      <c r="C155" s="41" t="s">
        <v>166</v>
      </c>
      <c r="D155" s="41" t="s">
        <v>156</v>
      </c>
      <c r="E155" s="41" t="s">
        <v>169</v>
      </c>
      <c r="F155" s="41" t="s">
        <v>158</v>
      </c>
    </row>
    <row r="156" spans="1:6" ht="15.75" thickBot="1" x14ac:dyDescent="0.3">
      <c r="A156" s="39">
        <v>38967</v>
      </c>
      <c r="B156" s="40">
        <v>10373</v>
      </c>
      <c r="C156" s="41" t="s">
        <v>160</v>
      </c>
      <c r="D156" s="41" t="s">
        <v>156</v>
      </c>
      <c r="E156" s="41" t="s">
        <v>169</v>
      </c>
      <c r="F156" s="41" t="s">
        <v>158</v>
      </c>
    </row>
    <row r="157" spans="1:6" ht="15.75" thickBot="1" x14ac:dyDescent="0.3">
      <c r="A157" s="39">
        <v>38967</v>
      </c>
      <c r="B157" s="40">
        <v>12164</v>
      </c>
      <c r="C157" s="41" t="s">
        <v>160</v>
      </c>
      <c r="D157" s="41" t="s">
        <v>156</v>
      </c>
      <c r="E157" s="41" t="s">
        <v>169</v>
      </c>
      <c r="F157" s="41" t="s">
        <v>158</v>
      </c>
    </row>
    <row r="158" spans="1:6" ht="15.75" thickBot="1" x14ac:dyDescent="0.3">
      <c r="A158" s="39">
        <v>38967</v>
      </c>
      <c r="B158" s="40">
        <v>250</v>
      </c>
      <c r="C158" s="41" t="s">
        <v>166</v>
      </c>
      <c r="D158" s="41" t="s">
        <v>156</v>
      </c>
      <c r="E158" s="41" t="s">
        <v>167</v>
      </c>
      <c r="F158" s="41" t="s">
        <v>158</v>
      </c>
    </row>
    <row r="159" spans="1:6" ht="15.75" thickBot="1" x14ac:dyDescent="0.3">
      <c r="A159" s="39">
        <v>38967</v>
      </c>
      <c r="B159" s="40">
        <v>2878</v>
      </c>
      <c r="C159" s="41" t="s">
        <v>166</v>
      </c>
      <c r="D159" s="41" t="s">
        <v>156</v>
      </c>
      <c r="E159" s="41" t="s">
        <v>167</v>
      </c>
      <c r="F159" s="41" t="s">
        <v>158</v>
      </c>
    </row>
    <row r="160" spans="1:6" ht="15.75" thickBot="1" x14ac:dyDescent="0.3">
      <c r="A160" s="39">
        <v>38967</v>
      </c>
      <c r="B160" s="40">
        <v>344</v>
      </c>
      <c r="C160" s="41" t="s">
        <v>163</v>
      </c>
      <c r="D160" s="41" t="s">
        <v>156</v>
      </c>
      <c r="E160" s="41" t="s">
        <v>169</v>
      </c>
      <c r="F160" s="41" t="s">
        <v>158</v>
      </c>
    </row>
    <row r="161" spans="1:6" ht="15.75" thickBot="1" x14ac:dyDescent="0.3">
      <c r="A161" s="39">
        <v>38967</v>
      </c>
      <c r="B161" s="40">
        <v>4000</v>
      </c>
      <c r="C161" s="41" t="s">
        <v>163</v>
      </c>
      <c r="D161" s="41" t="s">
        <v>161</v>
      </c>
      <c r="E161" s="41" t="s">
        <v>167</v>
      </c>
      <c r="F161" s="41" t="s">
        <v>158</v>
      </c>
    </row>
    <row r="162" spans="1:6" ht="15.75" thickBot="1" x14ac:dyDescent="0.3">
      <c r="A162" s="39">
        <v>38967</v>
      </c>
      <c r="B162" s="40">
        <v>12000</v>
      </c>
      <c r="C162" s="41" t="s">
        <v>160</v>
      </c>
      <c r="D162" s="41" t="s">
        <v>156</v>
      </c>
      <c r="E162" s="41" t="s">
        <v>167</v>
      </c>
      <c r="F162" s="41" t="s">
        <v>158</v>
      </c>
    </row>
    <row r="163" spans="1:6" ht="15.75" thickBot="1" x14ac:dyDescent="0.3">
      <c r="A163" s="39">
        <v>38967</v>
      </c>
      <c r="B163" s="40">
        <v>7277</v>
      </c>
      <c r="C163" s="41" t="s">
        <v>155</v>
      </c>
      <c r="D163" s="41" t="s">
        <v>156</v>
      </c>
      <c r="E163" s="41" t="s">
        <v>167</v>
      </c>
      <c r="F163" s="41" t="s">
        <v>158</v>
      </c>
    </row>
    <row r="164" spans="1:6" ht="15.75" thickBot="1" x14ac:dyDescent="0.3">
      <c r="A164" s="39">
        <v>38967</v>
      </c>
      <c r="B164" s="40">
        <v>11000</v>
      </c>
      <c r="C164" s="41" t="s">
        <v>160</v>
      </c>
      <c r="D164" s="41" t="s">
        <v>156</v>
      </c>
      <c r="E164" s="41" t="s">
        <v>157</v>
      </c>
      <c r="F164" s="41" t="s">
        <v>162</v>
      </c>
    </row>
    <row r="165" spans="1:6" ht="15.75" thickBot="1" x14ac:dyDescent="0.3">
      <c r="A165" s="39">
        <v>38967</v>
      </c>
      <c r="B165" s="40">
        <v>4000</v>
      </c>
      <c r="C165" s="41" t="s">
        <v>163</v>
      </c>
      <c r="D165" s="41" t="s">
        <v>156</v>
      </c>
      <c r="E165" s="41" t="s">
        <v>157</v>
      </c>
      <c r="F165" s="41" t="s">
        <v>162</v>
      </c>
    </row>
    <row r="166" spans="1:6" ht="15.75" thickBot="1" x14ac:dyDescent="0.3">
      <c r="A166" s="39">
        <v>38967</v>
      </c>
      <c r="B166" s="40">
        <v>5282</v>
      </c>
      <c r="C166" s="41" t="s">
        <v>163</v>
      </c>
      <c r="D166" s="41" t="s">
        <v>161</v>
      </c>
      <c r="E166" s="41" t="s">
        <v>157</v>
      </c>
      <c r="F166" s="41" t="s">
        <v>158</v>
      </c>
    </row>
    <row r="167" spans="1:6" ht="15.75" thickBot="1" x14ac:dyDescent="0.3">
      <c r="A167" s="39">
        <v>38967</v>
      </c>
      <c r="B167" s="40">
        <v>14974</v>
      </c>
      <c r="C167" s="41" t="s">
        <v>163</v>
      </c>
      <c r="D167" s="41" t="s">
        <v>161</v>
      </c>
      <c r="E167" s="41" t="s">
        <v>157</v>
      </c>
      <c r="F167" s="41" t="s">
        <v>158</v>
      </c>
    </row>
    <row r="168" spans="1:6" ht="15.75" thickBot="1" x14ac:dyDescent="0.3">
      <c r="A168" s="39">
        <v>38967</v>
      </c>
      <c r="B168" s="40">
        <v>500</v>
      </c>
      <c r="C168" s="41" t="s">
        <v>163</v>
      </c>
      <c r="D168" s="41" t="s">
        <v>156</v>
      </c>
      <c r="E168" s="41" t="s">
        <v>167</v>
      </c>
      <c r="F168" s="41" t="s">
        <v>158</v>
      </c>
    </row>
    <row r="169" spans="1:6" ht="15.75" thickBot="1" x14ac:dyDescent="0.3">
      <c r="A169" s="39">
        <v>38967</v>
      </c>
      <c r="B169" s="40">
        <v>13390</v>
      </c>
      <c r="C169" s="41" t="s">
        <v>166</v>
      </c>
      <c r="D169" s="41" t="s">
        <v>156</v>
      </c>
      <c r="E169" s="41" t="s">
        <v>157</v>
      </c>
      <c r="F169" s="41" t="s">
        <v>162</v>
      </c>
    </row>
    <row r="170" spans="1:6" ht="15.75" thickBot="1" x14ac:dyDescent="0.3">
      <c r="A170" s="39">
        <v>38967</v>
      </c>
      <c r="B170" s="40">
        <v>12063</v>
      </c>
      <c r="C170" s="41" t="s">
        <v>166</v>
      </c>
      <c r="D170" s="41" t="s">
        <v>156</v>
      </c>
      <c r="E170" s="41" t="s">
        <v>169</v>
      </c>
      <c r="F170" s="41" t="s">
        <v>162</v>
      </c>
    </row>
    <row r="171" spans="1:6" ht="15.75" thickBot="1" x14ac:dyDescent="0.3">
      <c r="A171" s="39">
        <v>38967</v>
      </c>
      <c r="B171" s="40">
        <v>500</v>
      </c>
      <c r="C171" s="41" t="s">
        <v>163</v>
      </c>
      <c r="D171" s="41" t="s">
        <v>156</v>
      </c>
      <c r="E171" s="41" t="s">
        <v>169</v>
      </c>
      <c r="F171" s="41" t="s">
        <v>158</v>
      </c>
    </row>
    <row r="172" spans="1:6" ht="15.75" thickBot="1" x14ac:dyDescent="0.3">
      <c r="A172" s="39">
        <v>38967</v>
      </c>
      <c r="B172" s="40">
        <v>600</v>
      </c>
      <c r="C172" s="41" t="s">
        <v>166</v>
      </c>
      <c r="D172" s="41" t="s">
        <v>156</v>
      </c>
      <c r="E172" s="41" t="s">
        <v>157</v>
      </c>
      <c r="F172" s="41" t="s">
        <v>158</v>
      </c>
    </row>
    <row r="173" spans="1:6" ht="15.75" thickBot="1" x14ac:dyDescent="0.3">
      <c r="A173" s="39">
        <v>38967</v>
      </c>
      <c r="B173" s="40">
        <v>15703</v>
      </c>
      <c r="C173" s="41" t="s">
        <v>160</v>
      </c>
      <c r="D173" s="41" t="s">
        <v>156</v>
      </c>
      <c r="E173" s="41" t="s">
        <v>157</v>
      </c>
      <c r="F173" s="41" t="s">
        <v>158</v>
      </c>
    </row>
    <row r="174" spans="1:6" ht="15.75" thickBot="1" x14ac:dyDescent="0.3">
      <c r="A174" s="39">
        <v>38967</v>
      </c>
      <c r="B174" s="40">
        <v>8000</v>
      </c>
      <c r="C174" s="41" t="s">
        <v>166</v>
      </c>
      <c r="D174" s="41" t="s">
        <v>161</v>
      </c>
      <c r="E174" s="41" t="s">
        <v>157</v>
      </c>
      <c r="F174" s="41" t="s">
        <v>158</v>
      </c>
    </row>
    <row r="175" spans="1:6" ht="15.75" thickBot="1" x14ac:dyDescent="0.3">
      <c r="A175" s="39">
        <v>38967</v>
      </c>
      <c r="B175" s="40">
        <v>14548</v>
      </c>
      <c r="C175" s="41" t="s">
        <v>160</v>
      </c>
      <c r="D175" s="41" t="s">
        <v>156</v>
      </c>
      <c r="E175" s="41" t="s">
        <v>157</v>
      </c>
      <c r="F175" s="41" t="s">
        <v>158</v>
      </c>
    </row>
    <row r="176" spans="1:6" ht="15.75" thickBot="1" x14ac:dyDescent="0.3">
      <c r="A176" s="39">
        <v>38967</v>
      </c>
      <c r="B176" s="40">
        <v>13903</v>
      </c>
      <c r="C176" s="41" t="s">
        <v>160</v>
      </c>
      <c r="D176" s="41" t="s">
        <v>156</v>
      </c>
      <c r="E176" s="41" t="s">
        <v>157</v>
      </c>
      <c r="F176" s="41" t="s">
        <v>158</v>
      </c>
    </row>
    <row r="177" spans="1:6" ht="15.75" thickBot="1" x14ac:dyDescent="0.3">
      <c r="A177" s="39">
        <v>38967</v>
      </c>
      <c r="B177" s="40">
        <v>6307</v>
      </c>
      <c r="C177" s="41" t="s">
        <v>166</v>
      </c>
      <c r="D177" s="41" t="s">
        <v>161</v>
      </c>
      <c r="E177" s="41" t="s">
        <v>167</v>
      </c>
      <c r="F177" s="41" t="s">
        <v>158</v>
      </c>
    </row>
    <row r="178" spans="1:6" ht="15.75" thickBot="1" x14ac:dyDescent="0.3">
      <c r="A178" s="39">
        <v>38967</v>
      </c>
      <c r="B178" s="40">
        <v>3171</v>
      </c>
      <c r="C178" s="41" t="s">
        <v>163</v>
      </c>
      <c r="D178" s="41" t="s">
        <v>156</v>
      </c>
      <c r="E178" s="41" t="s">
        <v>169</v>
      </c>
      <c r="F178" s="41" t="s">
        <v>158</v>
      </c>
    </row>
    <row r="179" spans="1:6" ht="15.75" thickBot="1" x14ac:dyDescent="0.3">
      <c r="A179" s="39">
        <v>38967</v>
      </c>
      <c r="B179" s="40">
        <v>6202</v>
      </c>
      <c r="C179" s="41" t="s">
        <v>166</v>
      </c>
      <c r="D179" s="41" t="s">
        <v>161</v>
      </c>
      <c r="E179" s="41" t="s">
        <v>157</v>
      </c>
      <c r="F179" s="41" t="s">
        <v>158</v>
      </c>
    </row>
    <row r="180" spans="1:6" ht="15.75" thickBot="1" x14ac:dyDescent="0.3">
      <c r="A180" s="39">
        <v>38967</v>
      </c>
      <c r="B180" s="40">
        <v>9009</v>
      </c>
      <c r="C180" s="41" t="s">
        <v>163</v>
      </c>
      <c r="D180" s="41" t="s">
        <v>161</v>
      </c>
      <c r="E180" s="41" t="s">
        <v>157</v>
      </c>
      <c r="F180" s="41" t="s">
        <v>162</v>
      </c>
    </row>
    <row r="181" spans="1:6" ht="15.75" thickBot="1" x14ac:dyDescent="0.3">
      <c r="A181" s="39">
        <v>38967</v>
      </c>
      <c r="B181" s="40">
        <v>245</v>
      </c>
      <c r="C181" s="41" t="s">
        <v>163</v>
      </c>
      <c r="D181" s="41" t="s">
        <v>156</v>
      </c>
      <c r="E181" s="41" t="s">
        <v>167</v>
      </c>
      <c r="F181" s="41" t="s">
        <v>158</v>
      </c>
    </row>
    <row r="182" spans="1:6" ht="15.75" thickBot="1" x14ac:dyDescent="0.3">
      <c r="A182" s="39">
        <v>38967</v>
      </c>
      <c r="B182" s="40">
        <v>400</v>
      </c>
      <c r="C182" s="41" t="s">
        <v>163</v>
      </c>
      <c r="D182" s="41" t="s">
        <v>156</v>
      </c>
      <c r="E182" s="41" t="s">
        <v>157</v>
      </c>
      <c r="F182" s="41" t="s">
        <v>158</v>
      </c>
    </row>
    <row r="183" spans="1:6" ht="15.75" thickBot="1" x14ac:dyDescent="0.3">
      <c r="A183" s="39">
        <v>38967</v>
      </c>
      <c r="B183" s="40">
        <v>11594</v>
      </c>
      <c r="C183" s="41" t="s">
        <v>160</v>
      </c>
      <c r="D183" s="41" t="s">
        <v>161</v>
      </c>
      <c r="E183" s="41" t="s">
        <v>157</v>
      </c>
      <c r="F183" s="41" t="s">
        <v>162</v>
      </c>
    </row>
    <row r="184" spans="1:6" ht="15.75" thickBot="1" x14ac:dyDescent="0.3">
      <c r="A184" s="39">
        <v>38967</v>
      </c>
      <c r="B184" s="40">
        <v>35000</v>
      </c>
      <c r="C184" s="41" t="s">
        <v>160</v>
      </c>
      <c r="D184" s="41" t="s">
        <v>156</v>
      </c>
      <c r="E184" s="41" t="s">
        <v>157</v>
      </c>
      <c r="F184" s="41" t="s">
        <v>158</v>
      </c>
    </row>
    <row r="185" spans="1:6" ht="15.75" thickBot="1" x14ac:dyDescent="0.3">
      <c r="A185" s="39">
        <v>38967</v>
      </c>
      <c r="B185" s="40">
        <v>5000</v>
      </c>
      <c r="C185" s="41" t="s">
        <v>166</v>
      </c>
      <c r="D185" s="41" t="s">
        <v>156</v>
      </c>
      <c r="E185" s="41" t="s">
        <v>157</v>
      </c>
      <c r="F185" s="41" t="s">
        <v>162</v>
      </c>
    </row>
    <row r="186" spans="1:6" ht="15.75" thickBot="1" x14ac:dyDescent="0.3">
      <c r="A186" s="39">
        <v>38967</v>
      </c>
      <c r="B186" s="40">
        <v>500</v>
      </c>
      <c r="C186" s="41" t="s">
        <v>163</v>
      </c>
      <c r="D186" s="41" t="s">
        <v>156</v>
      </c>
      <c r="E186" s="41" t="s">
        <v>169</v>
      </c>
      <c r="F186" s="41" t="s">
        <v>158</v>
      </c>
    </row>
    <row r="187" spans="1:6" ht="15.75" thickBot="1" x14ac:dyDescent="0.3">
      <c r="A187" s="39">
        <v>38967</v>
      </c>
      <c r="B187" s="40">
        <v>7865</v>
      </c>
      <c r="C187" s="41" t="s">
        <v>163</v>
      </c>
      <c r="D187" s="41" t="s">
        <v>161</v>
      </c>
      <c r="E187" s="41" t="s">
        <v>157</v>
      </c>
      <c r="F187" s="41" t="s">
        <v>162</v>
      </c>
    </row>
    <row r="188" spans="1:6" ht="15.75" thickBot="1" x14ac:dyDescent="0.3">
      <c r="A188" s="39">
        <v>38967</v>
      </c>
      <c r="B188" s="40">
        <v>4198</v>
      </c>
      <c r="C188" s="41" t="s">
        <v>160</v>
      </c>
      <c r="D188" s="41" t="s">
        <v>156</v>
      </c>
      <c r="E188" s="41" t="s">
        <v>167</v>
      </c>
      <c r="F188" s="41" t="s">
        <v>158</v>
      </c>
    </row>
    <row r="189" spans="1:6" ht="15.75" thickBot="1" x14ac:dyDescent="0.3">
      <c r="A189" s="39">
        <v>38967</v>
      </c>
      <c r="B189" s="40">
        <v>500</v>
      </c>
      <c r="C189" s="41" t="s">
        <v>163</v>
      </c>
      <c r="D189" s="41" t="s">
        <v>156</v>
      </c>
      <c r="E189" s="41" t="s">
        <v>167</v>
      </c>
      <c r="F189" s="41" t="s">
        <v>158</v>
      </c>
    </row>
    <row r="190" spans="1:6" ht="15.75" thickBot="1" x14ac:dyDescent="0.3">
      <c r="A190" s="39">
        <v>38967</v>
      </c>
      <c r="B190" s="40">
        <v>4535</v>
      </c>
      <c r="C190" s="41" t="s">
        <v>163</v>
      </c>
      <c r="D190" s="41" t="s">
        <v>156</v>
      </c>
      <c r="E190" s="41" t="s">
        <v>167</v>
      </c>
      <c r="F190" s="41" t="s">
        <v>162</v>
      </c>
    </row>
    <row r="191" spans="1:6" ht="15.75" thickBot="1" x14ac:dyDescent="0.3">
      <c r="A191" s="39">
        <v>38967</v>
      </c>
      <c r="B191" s="40">
        <v>240</v>
      </c>
      <c r="C191" s="41" t="s">
        <v>163</v>
      </c>
      <c r="D191" s="41" t="s">
        <v>156</v>
      </c>
      <c r="E191" s="41" t="s">
        <v>157</v>
      </c>
      <c r="F191" s="41" t="s">
        <v>158</v>
      </c>
    </row>
    <row r="192" spans="1:6" ht="15.75" thickBot="1" x14ac:dyDescent="0.3">
      <c r="A192" s="39">
        <v>38967</v>
      </c>
      <c r="B192" s="40">
        <v>100</v>
      </c>
      <c r="C192" s="41" t="s">
        <v>163</v>
      </c>
      <c r="D192" s="41" t="s">
        <v>156</v>
      </c>
      <c r="E192" s="41" t="s">
        <v>157</v>
      </c>
      <c r="F192" s="41" t="s">
        <v>158</v>
      </c>
    </row>
    <row r="193" spans="1:6" ht="15.75" thickBot="1" x14ac:dyDescent="0.3">
      <c r="A193" s="39">
        <v>38967</v>
      </c>
      <c r="B193" s="40">
        <v>13000</v>
      </c>
      <c r="C193" s="41" t="s">
        <v>160</v>
      </c>
      <c r="D193" s="41" t="s">
        <v>156</v>
      </c>
      <c r="E193" s="41" t="s">
        <v>157</v>
      </c>
      <c r="F193" s="41" t="s">
        <v>158</v>
      </c>
    </row>
    <row r="194" spans="1:6" ht="15.75" thickBot="1" x14ac:dyDescent="0.3">
      <c r="A194" s="39">
        <v>38967</v>
      </c>
      <c r="B194" s="40">
        <v>4000</v>
      </c>
      <c r="C194" s="41" t="s">
        <v>166</v>
      </c>
      <c r="D194" s="41" t="s">
        <v>156</v>
      </c>
      <c r="E194" s="41" t="s">
        <v>157</v>
      </c>
      <c r="F194" s="41" t="s">
        <v>158</v>
      </c>
    </row>
    <row r="195" spans="1:6" ht="15.75" thickBot="1" x14ac:dyDescent="0.3">
      <c r="A195" s="39">
        <v>38967</v>
      </c>
      <c r="B195" s="40">
        <v>17000</v>
      </c>
      <c r="C195" s="41" t="s">
        <v>160</v>
      </c>
      <c r="D195" s="41" t="s">
        <v>161</v>
      </c>
      <c r="E195" s="41" t="s">
        <v>157</v>
      </c>
      <c r="F195" s="41" t="s">
        <v>158</v>
      </c>
    </row>
    <row r="196" spans="1:6" ht="15.75" thickBot="1" x14ac:dyDescent="0.3">
      <c r="A196" s="39">
        <v>38967</v>
      </c>
      <c r="B196" s="40">
        <v>75000</v>
      </c>
      <c r="C196" s="41" t="s">
        <v>160</v>
      </c>
      <c r="D196" s="41" t="s">
        <v>156</v>
      </c>
      <c r="E196" s="41" t="s">
        <v>167</v>
      </c>
      <c r="F196" s="41" t="s">
        <v>162</v>
      </c>
    </row>
    <row r="197" spans="1:6" ht="15.75" thickBot="1" x14ac:dyDescent="0.3">
      <c r="A197" s="39">
        <v>38967</v>
      </c>
      <c r="B197" s="40">
        <v>13428</v>
      </c>
      <c r="C197" s="41" t="s">
        <v>160</v>
      </c>
      <c r="D197" s="41" t="s">
        <v>156</v>
      </c>
      <c r="E197" s="41" t="s">
        <v>157</v>
      </c>
      <c r="F197" s="41" t="s">
        <v>158</v>
      </c>
    </row>
    <row r="198" spans="1:6" ht="15.75" thickBot="1" x14ac:dyDescent="0.3">
      <c r="A198" s="39">
        <v>38967</v>
      </c>
      <c r="B198" s="40">
        <v>2000</v>
      </c>
      <c r="C198" s="41" t="s">
        <v>155</v>
      </c>
      <c r="D198" s="41" t="s">
        <v>156</v>
      </c>
      <c r="E198" s="41" t="s">
        <v>169</v>
      </c>
      <c r="F198" s="41" t="s">
        <v>158</v>
      </c>
    </row>
    <row r="199" spans="1:6" ht="15.75" thickBot="1" x14ac:dyDescent="0.3">
      <c r="A199" s="39">
        <v>38967</v>
      </c>
      <c r="B199" s="40">
        <v>2749</v>
      </c>
      <c r="C199" s="41" t="s">
        <v>163</v>
      </c>
      <c r="D199" s="41" t="s">
        <v>156</v>
      </c>
      <c r="E199" s="41" t="s">
        <v>157</v>
      </c>
      <c r="F199" s="41" t="s">
        <v>162</v>
      </c>
    </row>
    <row r="200" spans="1:6" ht="15.75" thickBot="1" x14ac:dyDescent="0.3">
      <c r="A200" s="39">
        <v>38967</v>
      </c>
      <c r="B200" s="40">
        <v>3000</v>
      </c>
      <c r="C200" s="41" t="s">
        <v>163</v>
      </c>
      <c r="D200" s="41" t="s">
        <v>156</v>
      </c>
      <c r="E200" s="41" t="s">
        <v>157</v>
      </c>
      <c r="F200" s="41" t="s">
        <v>158</v>
      </c>
    </row>
    <row r="201" spans="1:6" ht="15.75" thickBot="1" x14ac:dyDescent="0.3">
      <c r="A201" s="39">
        <v>38967</v>
      </c>
      <c r="B201" s="40">
        <v>11721</v>
      </c>
      <c r="C201" s="41" t="s">
        <v>166</v>
      </c>
      <c r="D201" s="41" t="s">
        <v>156</v>
      </c>
      <c r="E201" s="41" t="s">
        <v>157</v>
      </c>
      <c r="F201" s="41" t="s">
        <v>162</v>
      </c>
    </row>
    <row r="202" spans="1:6" ht="15.75" thickBot="1" x14ac:dyDescent="0.3">
      <c r="A202" s="39">
        <v>38967</v>
      </c>
      <c r="B202" s="40">
        <v>4006</v>
      </c>
      <c r="C202" s="41" t="s">
        <v>166</v>
      </c>
      <c r="D202" s="41" t="s">
        <v>156</v>
      </c>
      <c r="E202" s="41" t="s">
        <v>167</v>
      </c>
      <c r="F202" s="41" t="s">
        <v>162</v>
      </c>
    </row>
    <row r="203" spans="1:6" ht="15.75" thickBot="1" x14ac:dyDescent="0.3">
      <c r="A203" s="39">
        <v>38967</v>
      </c>
      <c r="B203" s="40">
        <v>50000</v>
      </c>
      <c r="C203" s="41" t="s">
        <v>160</v>
      </c>
      <c r="D203" s="41" t="s">
        <v>156</v>
      </c>
      <c r="E203" s="41" t="s">
        <v>167</v>
      </c>
      <c r="F203" s="41" t="s">
        <v>158</v>
      </c>
    </row>
    <row r="204" spans="1:6" ht="15.75" thickBot="1" x14ac:dyDescent="0.3">
      <c r="A204" s="39">
        <v>38967</v>
      </c>
      <c r="B204" s="40">
        <v>10492</v>
      </c>
      <c r="C204" s="41" t="s">
        <v>163</v>
      </c>
      <c r="D204" s="41" t="s">
        <v>156</v>
      </c>
      <c r="E204" s="41" t="s">
        <v>167</v>
      </c>
      <c r="F204" s="41" t="s">
        <v>158</v>
      </c>
    </row>
    <row r="205" spans="1:6" ht="15.75" thickBot="1" x14ac:dyDescent="0.3">
      <c r="A205" s="39">
        <v>38967</v>
      </c>
      <c r="B205" s="40">
        <v>14000</v>
      </c>
      <c r="C205" s="41" t="s">
        <v>160</v>
      </c>
      <c r="D205" s="41" t="s">
        <v>161</v>
      </c>
      <c r="E205" s="41" t="s">
        <v>167</v>
      </c>
      <c r="F205" s="41" t="s">
        <v>158</v>
      </c>
    </row>
    <row r="206" spans="1:6" ht="15.75" thickBot="1" x14ac:dyDescent="0.3">
      <c r="A206" s="39">
        <v>38967</v>
      </c>
      <c r="B206" s="40">
        <v>16000</v>
      </c>
      <c r="C206" s="41" t="s">
        <v>160</v>
      </c>
      <c r="D206" s="41" t="s">
        <v>156</v>
      </c>
      <c r="E206" s="41" t="s">
        <v>157</v>
      </c>
      <c r="F206" s="41" t="s">
        <v>162</v>
      </c>
    </row>
    <row r="207" spans="1:6" ht="15.75" thickBot="1" x14ac:dyDescent="0.3">
      <c r="A207" s="39">
        <v>38967</v>
      </c>
      <c r="B207" s="40">
        <v>4000</v>
      </c>
      <c r="C207" s="41" t="s">
        <v>163</v>
      </c>
      <c r="D207" s="41" t="s">
        <v>156</v>
      </c>
      <c r="E207" s="41" t="s">
        <v>169</v>
      </c>
      <c r="F207" s="41" t="s">
        <v>162</v>
      </c>
    </row>
    <row r="208" spans="1:6" ht="15.75" thickBot="1" x14ac:dyDescent="0.3">
      <c r="A208" s="39">
        <v>38968</v>
      </c>
      <c r="B208" s="40">
        <v>9000</v>
      </c>
      <c r="C208" s="41" t="s">
        <v>155</v>
      </c>
      <c r="D208" s="41" t="s">
        <v>156</v>
      </c>
      <c r="E208" s="41" t="s">
        <v>157</v>
      </c>
      <c r="F208" s="41" t="s">
        <v>158</v>
      </c>
    </row>
    <row r="209" spans="1:6" ht="15.75" thickBot="1" x14ac:dyDescent="0.3">
      <c r="A209" s="39">
        <v>38968</v>
      </c>
      <c r="B209" s="40">
        <v>4000</v>
      </c>
      <c r="C209" s="41" t="s">
        <v>163</v>
      </c>
      <c r="D209" s="41" t="s">
        <v>156</v>
      </c>
      <c r="E209" s="41" t="s">
        <v>167</v>
      </c>
      <c r="F209" s="41" t="s">
        <v>158</v>
      </c>
    </row>
    <row r="210" spans="1:6" ht="15.75" thickBot="1" x14ac:dyDescent="0.3">
      <c r="A210" s="39">
        <v>38968</v>
      </c>
      <c r="B210" s="40">
        <v>14969</v>
      </c>
      <c r="C210" s="41" t="s">
        <v>160</v>
      </c>
      <c r="D210" s="41" t="s">
        <v>161</v>
      </c>
      <c r="E210" s="41" t="s">
        <v>169</v>
      </c>
      <c r="F210" s="41" t="s">
        <v>162</v>
      </c>
    </row>
    <row r="211" spans="1:6" ht="15.75" thickBot="1" x14ac:dyDescent="0.3">
      <c r="A211" s="39">
        <v>38968</v>
      </c>
      <c r="B211" s="40">
        <v>8915</v>
      </c>
      <c r="C211" s="41" t="s">
        <v>166</v>
      </c>
      <c r="D211" s="41" t="s">
        <v>156</v>
      </c>
      <c r="E211" s="41" t="s">
        <v>157</v>
      </c>
      <c r="F211" s="41" t="s">
        <v>162</v>
      </c>
    </row>
    <row r="212" spans="1:6" ht="15.75" thickBot="1" x14ac:dyDescent="0.3">
      <c r="A212" s="39">
        <v>38968</v>
      </c>
      <c r="B212" s="40">
        <v>6000</v>
      </c>
      <c r="C212" s="41" t="s">
        <v>163</v>
      </c>
      <c r="D212" s="41" t="s">
        <v>161</v>
      </c>
      <c r="E212" s="41" t="s">
        <v>169</v>
      </c>
      <c r="F212" s="41" t="s">
        <v>158</v>
      </c>
    </row>
    <row r="213" spans="1:6" ht="15.75" thickBot="1" x14ac:dyDescent="0.3">
      <c r="A213" s="39">
        <v>38968</v>
      </c>
      <c r="B213" s="40">
        <v>4853</v>
      </c>
      <c r="C213" s="41" t="s">
        <v>166</v>
      </c>
      <c r="D213" s="41" t="s">
        <v>156</v>
      </c>
      <c r="E213" s="41" t="s">
        <v>157</v>
      </c>
      <c r="F213" s="41" t="s">
        <v>158</v>
      </c>
    </row>
    <row r="214" spans="1:6" ht="15.75" thickBot="1" x14ac:dyDescent="0.3">
      <c r="A214" s="39">
        <v>38968</v>
      </c>
      <c r="B214" s="40">
        <v>3434</v>
      </c>
      <c r="C214" s="41" t="s">
        <v>163</v>
      </c>
      <c r="D214" s="41" t="s">
        <v>156</v>
      </c>
      <c r="E214" s="41" t="s">
        <v>157</v>
      </c>
      <c r="F214" s="41" t="s">
        <v>158</v>
      </c>
    </row>
    <row r="215" spans="1:6" ht="15.75" thickBot="1" x14ac:dyDescent="0.3">
      <c r="A215" s="39">
        <v>38968</v>
      </c>
      <c r="B215" s="40">
        <v>4000</v>
      </c>
      <c r="C215" s="41" t="s">
        <v>163</v>
      </c>
      <c r="D215" s="41" t="s">
        <v>156</v>
      </c>
      <c r="E215" s="41" t="s">
        <v>157</v>
      </c>
      <c r="F215" s="41" t="s">
        <v>158</v>
      </c>
    </row>
    <row r="216" spans="1:6" ht="15.75" thickBot="1" x14ac:dyDescent="0.3">
      <c r="A216" s="39">
        <v>38968</v>
      </c>
      <c r="B216" s="40">
        <v>500</v>
      </c>
      <c r="C216" s="41" t="s">
        <v>166</v>
      </c>
      <c r="D216" s="41" t="s">
        <v>156</v>
      </c>
      <c r="E216" s="41" t="s">
        <v>169</v>
      </c>
      <c r="F216" s="41" t="s">
        <v>158</v>
      </c>
    </row>
    <row r="217" spans="1:6" ht="15.75" thickBot="1" x14ac:dyDescent="0.3">
      <c r="A217" s="39">
        <v>38968</v>
      </c>
      <c r="B217" s="40">
        <v>5570</v>
      </c>
      <c r="C217" s="41" t="s">
        <v>163</v>
      </c>
      <c r="D217" s="41" t="s">
        <v>156</v>
      </c>
      <c r="E217" s="41" t="s">
        <v>167</v>
      </c>
      <c r="F217" s="41" t="s">
        <v>162</v>
      </c>
    </row>
    <row r="218" spans="1:6" ht="15.75" thickBot="1" x14ac:dyDescent="0.3">
      <c r="A218" s="39">
        <v>38968</v>
      </c>
      <c r="B218" s="40">
        <v>3845</v>
      </c>
      <c r="C218" s="41" t="s">
        <v>166</v>
      </c>
      <c r="D218" s="41" t="s">
        <v>161</v>
      </c>
      <c r="E218" s="41" t="s">
        <v>169</v>
      </c>
      <c r="F218" s="41" t="s">
        <v>158</v>
      </c>
    </row>
    <row r="219" spans="1:6" ht="15.75" thickBot="1" x14ac:dyDescent="0.3">
      <c r="A219" s="39">
        <v>38968</v>
      </c>
      <c r="B219" s="40">
        <v>8815</v>
      </c>
      <c r="C219" s="41" t="s">
        <v>166</v>
      </c>
      <c r="D219" s="41" t="s">
        <v>161</v>
      </c>
      <c r="E219" s="41" t="s">
        <v>157</v>
      </c>
      <c r="F219" s="41" t="s">
        <v>158</v>
      </c>
    </row>
    <row r="220" spans="1:6" ht="15.75" thickBot="1" x14ac:dyDescent="0.3">
      <c r="A220" s="39">
        <v>38968</v>
      </c>
      <c r="B220" s="40">
        <v>4329</v>
      </c>
      <c r="C220" s="41" t="s">
        <v>160</v>
      </c>
      <c r="D220" s="41" t="s">
        <v>156</v>
      </c>
      <c r="E220" s="41" t="s">
        <v>169</v>
      </c>
      <c r="F220" s="41" t="s">
        <v>162</v>
      </c>
    </row>
    <row r="221" spans="1:6" ht="15.75" thickBot="1" x14ac:dyDescent="0.3">
      <c r="A221" s="39">
        <v>38968</v>
      </c>
      <c r="B221" s="40">
        <v>1000</v>
      </c>
      <c r="C221" s="41" t="s">
        <v>163</v>
      </c>
      <c r="D221" s="41" t="s">
        <v>156</v>
      </c>
      <c r="E221" s="41" t="s">
        <v>157</v>
      </c>
      <c r="F221" s="41" t="s">
        <v>162</v>
      </c>
    </row>
    <row r="222" spans="1:6" ht="15.75" thickBot="1" x14ac:dyDescent="0.3">
      <c r="A222" s="39">
        <v>38968</v>
      </c>
      <c r="B222" s="40">
        <v>10553</v>
      </c>
      <c r="C222" s="41" t="s">
        <v>163</v>
      </c>
      <c r="D222" s="41" t="s">
        <v>156</v>
      </c>
      <c r="E222" s="41" t="s">
        <v>167</v>
      </c>
      <c r="F222" s="41" t="s">
        <v>162</v>
      </c>
    </row>
    <row r="223" spans="1:6" ht="15.75" thickBot="1" x14ac:dyDescent="0.3">
      <c r="A223" s="39">
        <v>38968</v>
      </c>
      <c r="B223" s="40">
        <v>500</v>
      </c>
      <c r="C223" s="41" t="s">
        <v>163</v>
      </c>
      <c r="D223" s="41" t="s">
        <v>161</v>
      </c>
      <c r="E223" s="41" t="s">
        <v>169</v>
      </c>
      <c r="F223" s="41" t="s">
        <v>162</v>
      </c>
    </row>
    <row r="224" spans="1:6" ht="15.75" thickBot="1" x14ac:dyDescent="0.3">
      <c r="A224" s="39">
        <v>38968</v>
      </c>
      <c r="B224" s="40">
        <v>6000</v>
      </c>
      <c r="C224" s="41" t="s">
        <v>166</v>
      </c>
      <c r="D224" s="41" t="s">
        <v>156</v>
      </c>
      <c r="E224" s="41" t="s">
        <v>157</v>
      </c>
      <c r="F224" s="41" t="s">
        <v>162</v>
      </c>
    </row>
    <row r="225" spans="1:6" ht="15.75" thickBot="1" x14ac:dyDescent="0.3">
      <c r="A225" s="39">
        <v>38968</v>
      </c>
      <c r="B225" s="40">
        <v>12505</v>
      </c>
      <c r="C225" s="41" t="s">
        <v>160</v>
      </c>
      <c r="D225" s="41" t="s">
        <v>156</v>
      </c>
      <c r="E225" s="41" t="s">
        <v>169</v>
      </c>
      <c r="F225" s="41" t="s">
        <v>162</v>
      </c>
    </row>
    <row r="226" spans="1:6" ht="15.75" thickBot="1" x14ac:dyDescent="0.3">
      <c r="A226" s="39">
        <v>38968</v>
      </c>
      <c r="B226" s="40">
        <v>4681</v>
      </c>
      <c r="C226" s="41" t="s">
        <v>160</v>
      </c>
      <c r="D226" s="41" t="s">
        <v>161</v>
      </c>
      <c r="E226" s="41" t="s">
        <v>169</v>
      </c>
      <c r="F226" s="41" t="s">
        <v>162</v>
      </c>
    </row>
    <row r="227" spans="1:6" ht="15.75" thickBot="1" x14ac:dyDescent="0.3">
      <c r="A227" s="39">
        <v>38968</v>
      </c>
      <c r="B227" s="40">
        <v>4635</v>
      </c>
      <c r="C227" s="41" t="s">
        <v>163</v>
      </c>
      <c r="D227" s="41" t="s">
        <v>156</v>
      </c>
      <c r="E227" s="41" t="s">
        <v>157</v>
      </c>
      <c r="F227" s="41" t="s">
        <v>158</v>
      </c>
    </row>
    <row r="228" spans="1:6" ht="15.75" thickBot="1" x14ac:dyDescent="0.3">
      <c r="A228" s="39">
        <v>38968</v>
      </c>
      <c r="B228" s="40">
        <v>8093</v>
      </c>
      <c r="C228" s="41" t="s">
        <v>163</v>
      </c>
      <c r="D228" s="41" t="s">
        <v>161</v>
      </c>
      <c r="E228" s="41" t="s">
        <v>157</v>
      </c>
      <c r="F228" s="41" t="s">
        <v>162</v>
      </c>
    </row>
    <row r="229" spans="1:6" ht="15.75" thickBot="1" x14ac:dyDescent="0.3">
      <c r="A229" s="39">
        <v>38968</v>
      </c>
      <c r="B229" s="40">
        <v>4000</v>
      </c>
      <c r="C229" s="41" t="s">
        <v>166</v>
      </c>
      <c r="D229" s="41" t="s">
        <v>156</v>
      </c>
      <c r="E229" s="41" t="s">
        <v>167</v>
      </c>
      <c r="F229" s="41" t="s">
        <v>158</v>
      </c>
    </row>
    <row r="230" spans="1:6" ht="15.75" thickBot="1" x14ac:dyDescent="0.3">
      <c r="A230" s="39">
        <v>38968</v>
      </c>
      <c r="B230" s="40">
        <v>100</v>
      </c>
      <c r="C230" s="41" t="s">
        <v>163</v>
      </c>
      <c r="D230" s="41" t="s">
        <v>156</v>
      </c>
      <c r="E230" s="41" t="s">
        <v>157</v>
      </c>
      <c r="F230" s="41" t="s">
        <v>158</v>
      </c>
    </row>
    <row r="231" spans="1:6" ht="15.75" thickBot="1" x14ac:dyDescent="0.3">
      <c r="A231" s="39">
        <v>38968</v>
      </c>
      <c r="B231" s="40">
        <v>9154</v>
      </c>
      <c r="C231" s="41" t="s">
        <v>160</v>
      </c>
      <c r="D231" s="41" t="s">
        <v>156</v>
      </c>
      <c r="E231" s="41" t="s">
        <v>157</v>
      </c>
      <c r="F231" s="41" t="s">
        <v>158</v>
      </c>
    </row>
    <row r="232" spans="1:6" ht="15.75" thickBot="1" x14ac:dyDescent="0.3">
      <c r="A232" s="39">
        <v>38969</v>
      </c>
      <c r="B232" s="40">
        <v>14475</v>
      </c>
      <c r="C232" s="41" t="s">
        <v>166</v>
      </c>
      <c r="D232" s="41" t="s">
        <v>161</v>
      </c>
      <c r="E232" s="41" t="s">
        <v>157</v>
      </c>
      <c r="F232" s="41" t="s">
        <v>158</v>
      </c>
    </row>
    <row r="233" spans="1:6" ht="15.75" thickBot="1" x14ac:dyDescent="0.3">
      <c r="A233" s="39">
        <v>38969</v>
      </c>
      <c r="B233" s="40">
        <v>12794</v>
      </c>
      <c r="C233" s="41" t="s">
        <v>163</v>
      </c>
      <c r="D233" s="41" t="s">
        <v>156</v>
      </c>
      <c r="E233" s="41" t="s">
        <v>167</v>
      </c>
      <c r="F233" s="41" t="s">
        <v>158</v>
      </c>
    </row>
    <row r="234" spans="1:6" ht="15.75" thickBot="1" x14ac:dyDescent="0.3">
      <c r="A234" s="39">
        <v>38969</v>
      </c>
      <c r="B234" s="40">
        <v>6674</v>
      </c>
      <c r="C234" s="41" t="s">
        <v>166</v>
      </c>
      <c r="D234" s="41" t="s">
        <v>161</v>
      </c>
      <c r="E234" s="41" t="s">
        <v>167</v>
      </c>
      <c r="F234" s="41" t="s">
        <v>162</v>
      </c>
    </row>
    <row r="235" spans="1:6" ht="15.75" thickBot="1" x14ac:dyDescent="0.3">
      <c r="A235" s="39">
        <v>38969</v>
      </c>
      <c r="B235" s="40">
        <v>4805</v>
      </c>
      <c r="C235" s="41" t="s">
        <v>163</v>
      </c>
      <c r="D235" s="41" t="s">
        <v>156</v>
      </c>
      <c r="E235" s="41" t="s">
        <v>167</v>
      </c>
      <c r="F235" s="41" t="s">
        <v>162</v>
      </c>
    </row>
    <row r="236" spans="1:6" ht="15.75" thickBot="1" x14ac:dyDescent="0.3">
      <c r="A236" s="39">
        <v>38969</v>
      </c>
      <c r="B236" s="40">
        <v>8801</v>
      </c>
      <c r="C236" s="41" t="s">
        <v>160</v>
      </c>
      <c r="D236" s="41" t="s">
        <v>161</v>
      </c>
      <c r="E236" s="41" t="s">
        <v>167</v>
      </c>
      <c r="F236" s="41" t="s">
        <v>162</v>
      </c>
    </row>
    <row r="237" spans="1:6" ht="15.75" thickBot="1" x14ac:dyDescent="0.3">
      <c r="A237" s="39">
        <v>38969</v>
      </c>
      <c r="B237" s="40">
        <v>6794</v>
      </c>
      <c r="C237" s="41" t="s">
        <v>160</v>
      </c>
      <c r="D237" s="41" t="s">
        <v>156</v>
      </c>
      <c r="E237" s="41" t="s">
        <v>169</v>
      </c>
      <c r="F237" s="41" t="s">
        <v>158</v>
      </c>
    </row>
    <row r="238" spans="1:6" ht="15.75" thickBot="1" x14ac:dyDescent="0.3">
      <c r="A238" s="39">
        <v>38969</v>
      </c>
      <c r="B238" s="40">
        <v>13524</v>
      </c>
      <c r="C238" s="41" t="s">
        <v>160</v>
      </c>
      <c r="D238" s="41" t="s">
        <v>161</v>
      </c>
      <c r="E238" s="41" t="s">
        <v>169</v>
      </c>
      <c r="F238" s="41" t="s">
        <v>158</v>
      </c>
    </row>
    <row r="239" spans="1:6" ht="15.75" thickBot="1" x14ac:dyDescent="0.3">
      <c r="A239" s="39">
        <v>38969</v>
      </c>
      <c r="B239" s="40">
        <v>8174</v>
      </c>
      <c r="C239" s="41" t="s">
        <v>160</v>
      </c>
      <c r="D239" s="41" t="s">
        <v>156</v>
      </c>
      <c r="E239" s="41" t="s">
        <v>167</v>
      </c>
      <c r="F239" s="41" t="s">
        <v>158</v>
      </c>
    </row>
    <row r="240" spans="1:6" ht="15.75" thickBot="1" x14ac:dyDescent="0.3">
      <c r="A240" s="39">
        <v>38969</v>
      </c>
      <c r="B240" s="40">
        <v>6586</v>
      </c>
      <c r="C240" s="41" t="s">
        <v>160</v>
      </c>
      <c r="D240" s="41" t="s">
        <v>161</v>
      </c>
      <c r="E240" s="41" t="s">
        <v>169</v>
      </c>
      <c r="F240" s="41" t="s">
        <v>162</v>
      </c>
    </row>
    <row r="241" spans="1:6" ht="15.75" thickBot="1" x14ac:dyDescent="0.3">
      <c r="A241" s="39">
        <v>38969</v>
      </c>
      <c r="B241" s="40">
        <v>9268</v>
      </c>
      <c r="C241" s="41" t="s">
        <v>160</v>
      </c>
      <c r="D241" s="41" t="s">
        <v>161</v>
      </c>
      <c r="E241" s="41" t="s">
        <v>169</v>
      </c>
      <c r="F241" s="41" t="s">
        <v>162</v>
      </c>
    </row>
    <row r="242" spans="1:6" ht="15.75" thickBot="1" x14ac:dyDescent="0.3">
      <c r="A242" s="39">
        <v>38970</v>
      </c>
      <c r="B242" s="40">
        <v>12303</v>
      </c>
      <c r="C242" s="41" t="s">
        <v>160</v>
      </c>
      <c r="D242" s="41" t="s">
        <v>156</v>
      </c>
      <c r="E242" s="41" t="s">
        <v>167</v>
      </c>
      <c r="F242" s="41" t="s">
        <v>158</v>
      </c>
    </row>
    <row r="243" spans="1:6" ht="15.75" thickBot="1" x14ac:dyDescent="0.3">
      <c r="A243" s="39">
        <v>38970</v>
      </c>
      <c r="B243" s="40">
        <v>8512</v>
      </c>
      <c r="C243" s="41" t="s">
        <v>160</v>
      </c>
      <c r="D243" s="41" t="s">
        <v>156</v>
      </c>
      <c r="E243" s="41" t="s">
        <v>169</v>
      </c>
      <c r="F243" s="41" t="s">
        <v>162</v>
      </c>
    </row>
    <row r="244" spans="1:6" ht="15.75" thickBot="1" x14ac:dyDescent="0.3">
      <c r="A244" s="39">
        <v>38970</v>
      </c>
      <c r="B244" s="40">
        <v>12516</v>
      </c>
      <c r="C244" s="41" t="s">
        <v>163</v>
      </c>
      <c r="D244" s="41" t="s">
        <v>156</v>
      </c>
      <c r="E244" s="41" t="s">
        <v>157</v>
      </c>
      <c r="F244" s="41" t="s">
        <v>158</v>
      </c>
    </row>
    <row r="245" spans="1:6" ht="15.75" thickBot="1" x14ac:dyDescent="0.3">
      <c r="A245" s="39">
        <v>38970</v>
      </c>
      <c r="B245" s="40">
        <v>10097</v>
      </c>
      <c r="C245" s="41" t="s">
        <v>160</v>
      </c>
      <c r="D245" s="41" t="s">
        <v>161</v>
      </c>
      <c r="E245" s="41" t="s">
        <v>157</v>
      </c>
      <c r="F245" s="41" t="s">
        <v>158</v>
      </c>
    </row>
    <row r="246" spans="1:6" ht="15.75" thickBot="1" x14ac:dyDescent="0.3">
      <c r="A246" s="39">
        <v>38970</v>
      </c>
      <c r="B246" s="40">
        <v>500</v>
      </c>
      <c r="C246" s="41" t="s">
        <v>163</v>
      </c>
      <c r="D246" s="41" t="s">
        <v>161</v>
      </c>
      <c r="E246" s="41" t="s">
        <v>157</v>
      </c>
      <c r="F246" s="41" t="s">
        <v>158</v>
      </c>
    </row>
    <row r="247" spans="1:6" ht="15.75" thickBot="1" x14ac:dyDescent="0.3">
      <c r="A247" s="39">
        <v>38970</v>
      </c>
      <c r="B247" s="40">
        <v>9877</v>
      </c>
      <c r="C247" s="41" t="s">
        <v>166</v>
      </c>
      <c r="D247" s="41" t="s">
        <v>156</v>
      </c>
      <c r="E247" s="41" t="s">
        <v>157</v>
      </c>
      <c r="F247" s="41" t="s">
        <v>158</v>
      </c>
    </row>
    <row r="248" spans="1:6" ht="15.75" thickBot="1" x14ac:dyDescent="0.3">
      <c r="A248" s="39">
        <v>38970</v>
      </c>
      <c r="B248" s="40">
        <v>4915</v>
      </c>
      <c r="C248" s="41" t="s">
        <v>163</v>
      </c>
      <c r="D248" s="41" t="s">
        <v>161</v>
      </c>
      <c r="E248" s="41" t="s">
        <v>157</v>
      </c>
      <c r="F248" s="41" t="s">
        <v>162</v>
      </c>
    </row>
    <row r="249" spans="1:6" ht="15.75" thickBot="1" x14ac:dyDescent="0.3">
      <c r="A249" s="39">
        <v>38970</v>
      </c>
      <c r="B249" s="40">
        <v>7316</v>
      </c>
      <c r="C249" s="41" t="s">
        <v>166</v>
      </c>
      <c r="D249" s="41" t="s">
        <v>161</v>
      </c>
      <c r="E249" s="41" t="s">
        <v>157</v>
      </c>
      <c r="F249" s="41" t="s">
        <v>162</v>
      </c>
    </row>
    <row r="250" spans="1:6" ht="15.75" thickBot="1" x14ac:dyDescent="0.3">
      <c r="A250" s="39">
        <v>38970</v>
      </c>
      <c r="B250" s="40">
        <v>4295</v>
      </c>
      <c r="C250" s="41" t="s">
        <v>163</v>
      </c>
      <c r="D250" s="41" t="s">
        <v>161</v>
      </c>
      <c r="E250" s="41" t="s">
        <v>157</v>
      </c>
      <c r="F250" s="41" t="s">
        <v>162</v>
      </c>
    </row>
    <row r="251" spans="1:6" ht="15.75" thickBot="1" x14ac:dyDescent="0.3">
      <c r="A251" s="39">
        <v>38970</v>
      </c>
      <c r="B251" s="40">
        <v>11935</v>
      </c>
      <c r="C251" s="41" t="s">
        <v>160</v>
      </c>
      <c r="D251" s="41" t="s">
        <v>161</v>
      </c>
      <c r="E251" s="41" t="s">
        <v>167</v>
      </c>
      <c r="F251" s="41" t="s">
        <v>162</v>
      </c>
    </row>
    <row r="252" spans="1:6" ht="15.75" thickBot="1" x14ac:dyDescent="0.3">
      <c r="A252" s="39">
        <v>38970</v>
      </c>
      <c r="B252" s="40">
        <v>9624</v>
      </c>
      <c r="C252" s="41" t="s">
        <v>163</v>
      </c>
      <c r="D252" s="41" t="s">
        <v>161</v>
      </c>
      <c r="E252" s="41" t="s">
        <v>157</v>
      </c>
      <c r="F252" s="41" t="s">
        <v>158</v>
      </c>
    </row>
    <row r="253" spans="1:6" ht="15.75" thickBot="1" x14ac:dyDescent="0.3">
      <c r="A253" s="39">
        <v>38970</v>
      </c>
      <c r="B253" s="40">
        <v>10181</v>
      </c>
      <c r="C253" s="41" t="s">
        <v>160</v>
      </c>
      <c r="D253" s="41" t="s">
        <v>161</v>
      </c>
      <c r="E253" s="41" t="s">
        <v>157</v>
      </c>
      <c r="F253" s="41" t="s">
        <v>162</v>
      </c>
    </row>
    <row r="254" spans="1:6" ht="15.75" thickBot="1" x14ac:dyDescent="0.3">
      <c r="A254" s="39">
        <v>38970</v>
      </c>
      <c r="B254" s="40">
        <v>8552</v>
      </c>
      <c r="C254" s="41" t="s">
        <v>166</v>
      </c>
      <c r="D254" s="41" t="s">
        <v>161</v>
      </c>
      <c r="E254" s="41" t="s">
        <v>157</v>
      </c>
      <c r="F254" s="41" t="s">
        <v>162</v>
      </c>
    </row>
    <row r="255" spans="1:6" ht="15.75" thickBot="1" x14ac:dyDescent="0.3">
      <c r="A255" s="39">
        <v>38970</v>
      </c>
      <c r="B255" s="40">
        <v>13494</v>
      </c>
      <c r="C255" s="41" t="s">
        <v>166</v>
      </c>
      <c r="D255" s="41" t="s">
        <v>156</v>
      </c>
      <c r="E255" s="41" t="s">
        <v>157</v>
      </c>
      <c r="F255" s="41" t="s">
        <v>162</v>
      </c>
    </row>
    <row r="256" spans="1:6" ht="15.75" thickBot="1" x14ac:dyDescent="0.3">
      <c r="A256" s="39">
        <v>38971</v>
      </c>
      <c r="B256" s="40">
        <v>12932</v>
      </c>
      <c r="C256" s="41" t="s">
        <v>166</v>
      </c>
      <c r="D256" s="41" t="s">
        <v>161</v>
      </c>
      <c r="E256" s="41" t="s">
        <v>157</v>
      </c>
      <c r="F256" s="41" t="s">
        <v>158</v>
      </c>
    </row>
    <row r="257" spans="1:6" ht="15.75" thickBot="1" x14ac:dyDescent="0.3">
      <c r="A257" s="39">
        <v>38971</v>
      </c>
      <c r="B257" s="40">
        <v>3000</v>
      </c>
      <c r="C257" s="41" t="s">
        <v>163</v>
      </c>
      <c r="D257" s="41" t="s">
        <v>156</v>
      </c>
      <c r="E257" s="41" t="s">
        <v>157</v>
      </c>
      <c r="F257" s="41" t="s">
        <v>158</v>
      </c>
    </row>
    <row r="258" spans="1:6" ht="15.75" thickBot="1" x14ac:dyDescent="0.3">
      <c r="A258" s="39">
        <v>38971</v>
      </c>
      <c r="B258" s="40">
        <v>12722</v>
      </c>
      <c r="C258" s="41" t="s">
        <v>163</v>
      </c>
      <c r="D258" s="41" t="s">
        <v>161</v>
      </c>
      <c r="E258" s="41" t="s">
        <v>167</v>
      </c>
      <c r="F258" s="41" t="s">
        <v>162</v>
      </c>
    </row>
    <row r="259" spans="1:6" ht="15.75" thickBot="1" x14ac:dyDescent="0.3">
      <c r="A259" s="39">
        <v>38971</v>
      </c>
      <c r="B259" s="40">
        <v>500</v>
      </c>
      <c r="C259" s="41" t="s">
        <v>163</v>
      </c>
      <c r="D259" s="41" t="s">
        <v>156</v>
      </c>
      <c r="E259" s="41" t="s">
        <v>157</v>
      </c>
      <c r="F259" s="41" t="s">
        <v>158</v>
      </c>
    </row>
    <row r="260" spans="1:6" ht="15.75" thickBot="1" x14ac:dyDescent="0.3">
      <c r="A260" s="39">
        <v>38971</v>
      </c>
      <c r="B260" s="40">
        <v>4000</v>
      </c>
      <c r="C260" s="41" t="s">
        <v>163</v>
      </c>
      <c r="D260" s="41" t="s">
        <v>156</v>
      </c>
      <c r="E260" s="41" t="s">
        <v>157</v>
      </c>
      <c r="F260" s="41" t="s">
        <v>158</v>
      </c>
    </row>
    <row r="261" spans="1:6" ht="15.75" thickBot="1" x14ac:dyDescent="0.3">
      <c r="A261" s="39">
        <v>38971</v>
      </c>
      <c r="B261" s="40">
        <v>12334</v>
      </c>
      <c r="C261" s="41" t="s">
        <v>166</v>
      </c>
      <c r="D261" s="41" t="s">
        <v>161</v>
      </c>
      <c r="E261" s="41" t="s">
        <v>169</v>
      </c>
      <c r="F261" s="41" t="s">
        <v>158</v>
      </c>
    </row>
    <row r="262" spans="1:6" ht="15.75" thickBot="1" x14ac:dyDescent="0.3">
      <c r="A262" s="39">
        <v>38971</v>
      </c>
      <c r="B262" s="40">
        <v>5360</v>
      </c>
      <c r="C262" s="41" t="s">
        <v>160</v>
      </c>
      <c r="D262" s="41" t="s">
        <v>161</v>
      </c>
      <c r="E262" s="41" t="s">
        <v>157</v>
      </c>
      <c r="F262" s="41" t="s">
        <v>158</v>
      </c>
    </row>
    <row r="263" spans="1:6" ht="15.75" thickBot="1" x14ac:dyDescent="0.3">
      <c r="A263" s="39">
        <v>38971</v>
      </c>
      <c r="B263" s="40">
        <v>500</v>
      </c>
      <c r="C263" s="41" t="s">
        <v>163</v>
      </c>
      <c r="D263" s="41" t="s">
        <v>156</v>
      </c>
      <c r="E263" s="41" t="s">
        <v>169</v>
      </c>
      <c r="F263" s="41" t="s">
        <v>162</v>
      </c>
    </row>
    <row r="264" spans="1:6" ht="15.75" thickBot="1" x14ac:dyDescent="0.3">
      <c r="A264" s="39">
        <v>38971</v>
      </c>
      <c r="B264" s="40">
        <v>65000</v>
      </c>
      <c r="C264" s="41" t="s">
        <v>166</v>
      </c>
      <c r="D264" s="41" t="s">
        <v>156</v>
      </c>
      <c r="E264" s="41" t="s">
        <v>169</v>
      </c>
      <c r="F264" s="41" t="s">
        <v>158</v>
      </c>
    </row>
    <row r="265" spans="1:6" ht="15.75" thickBot="1" x14ac:dyDescent="0.3">
      <c r="A265" s="39">
        <v>38971</v>
      </c>
      <c r="B265" s="40">
        <v>10751</v>
      </c>
      <c r="C265" s="41" t="s">
        <v>160</v>
      </c>
      <c r="D265" s="41" t="s">
        <v>156</v>
      </c>
      <c r="E265" s="41" t="s">
        <v>157</v>
      </c>
      <c r="F265" s="41" t="s">
        <v>158</v>
      </c>
    </row>
    <row r="266" spans="1:6" ht="15.75" thickBot="1" x14ac:dyDescent="0.3">
      <c r="A266" s="39">
        <v>38971</v>
      </c>
      <c r="B266" s="40">
        <v>10190</v>
      </c>
      <c r="C266" s="41" t="s">
        <v>163</v>
      </c>
      <c r="D266" s="41" t="s">
        <v>161</v>
      </c>
      <c r="E266" s="41" t="s">
        <v>157</v>
      </c>
      <c r="F266" s="41" t="s">
        <v>158</v>
      </c>
    </row>
    <row r="267" spans="1:6" ht="15.75" thickBot="1" x14ac:dyDescent="0.3">
      <c r="A267" s="39">
        <v>38971</v>
      </c>
      <c r="B267" s="40">
        <v>3075</v>
      </c>
      <c r="C267" s="41" t="s">
        <v>163</v>
      </c>
      <c r="D267" s="41" t="s">
        <v>156</v>
      </c>
      <c r="E267" s="41" t="s">
        <v>169</v>
      </c>
      <c r="F267" s="41" t="s">
        <v>158</v>
      </c>
    </row>
    <row r="268" spans="1:6" ht="15.75" thickBot="1" x14ac:dyDescent="0.3">
      <c r="A268" s="39">
        <v>38971</v>
      </c>
      <c r="B268" s="40">
        <v>13000</v>
      </c>
      <c r="C268" s="41" t="s">
        <v>160</v>
      </c>
      <c r="D268" s="41" t="s">
        <v>156</v>
      </c>
      <c r="E268" s="41" t="s">
        <v>157</v>
      </c>
      <c r="F268" s="41" t="s">
        <v>158</v>
      </c>
    </row>
    <row r="269" spans="1:6" ht="15.75" thickBot="1" x14ac:dyDescent="0.3">
      <c r="A269" s="39">
        <v>38971</v>
      </c>
      <c r="B269" s="40">
        <v>5116</v>
      </c>
      <c r="C269" s="41" t="s">
        <v>163</v>
      </c>
      <c r="D269" s="41" t="s">
        <v>161</v>
      </c>
      <c r="E269" s="41" t="s">
        <v>157</v>
      </c>
      <c r="F269" s="41" t="s">
        <v>162</v>
      </c>
    </row>
    <row r="270" spans="1:6" ht="15.75" thickBot="1" x14ac:dyDescent="0.3">
      <c r="A270" s="39">
        <v>38971</v>
      </c>
      <c r="B270" s="40">
        <v>5097</v>
      </c>
      <c r="C270" s="41" t="s">
        <v>160</v>
      </c>
      <c r="D270" s="41" t="s">
        <v>156</v>
      </c>
      <c r="E270" s="41" t="s">
        <v>157</v>
      </c>
      <c r="F270" s="41" t="s">
        <v>162</v>
      </c>
    </row>
    <row r="271" spans="1:6" ht="15.75" thickBot="1" x14ac:dyDescent="0.3">
      <c r="A271" s="39">
        <v>38971</v>
      </c>
      <c r="B271" s="40">
        <v>6000</v>
      </c>
      <c r="C271" s="41" t="s">
        <v>166</v>
      </c>
      <c r="D271" s="41" t="s">
        <v>156</v>
      </c>
      <c r="E271" s="41" t="s">
        <v>157</v>
      </c>
      <c r="F271" s="41" t="s">
        <v>158</v>
      </c>
    </row>
    <row r="272" spans="1:6" ht="15.75" thickBot="1" x14ac:dyDescent="0.3">
      <c r="A272" s="39">
        <v>38971</v>
      </c>
      <c r="B272" s="40">
        <v>240</v>
      </c>
      <c r="C272" s="41" t="s">
        <v>163</v>
      </c>
      <c r="D272" s="41" t="s">
        <v>156</v>
      </c>
      <c r="E272" s="41" t="s">
        <v>157</v>
      </c>
      <c r="F272" s="41" t="s">
        <v>158</v>
      </c>
    </row>
    <row r="273" spans="1:6" ht="15.75" thickBot="1" x14ac:dyDescent="0.3">
      <c r="A273" s="39">
        <v>38971</v>
      </c>
      <c r="B273" s="40">
        <v>8349</v>
      </c>
      <c r="C273" s="41" t="s">
        <v>163</v>
      </c>
      <c r="D273" s="41" t="s">
        <v>156</v>
      </c>
      <c r="E273" s="41" t="s">
        <v>169</v>
      </c>
      <c r="F273" s="41" t="s">
        <v>162</v>
      </c>
    </row>
    <row r="274" spans="1:6" ht="15.75" thickBot="1" x14ac:dyDescent="0.3">
      <c r="A274" s="39">
        <v>38971</v>
      </c>
      <c r="B274" s="40">
        <v>4000</v>
      </c>
      <c r="C274" s="41" t="s">
        <v>163</v>
      </c>
      <c r="D274" s="41" t="s">
        <v>156</v>
      </c>
      <c r="E274" s="41" t="s">
        <v>167</v>
      </c>
      <c r="F274" s="41" t="s">
        <v>158</v>
      </c>
    </row>
    <row r="275" spans="1:6" ht="15.75" thickBot="1" x14ac:dyDescent="0.3">
      <c r="A275" s="39">
        <v>38971</v>
      </c>
      <c r="B275" s="40">
        <v>5366</v>
      </c>
      <c r="C275" s="41" t="s">
        <v>166</v>
      </c>
      <c r="D275" s="41" t="s">
        <v>161</v>
      </c>
      <c r="E275" s="41" t="s">
        <v>157</v>
      </c>
      <c r="F275" s="41" t="s">
        <v>162</v>
      </c>
    </row>
    <row r="276" spans="1:6" ht="15.75" thickBot="1" x14ac:dyDescent="0.3">
      <c r="A276" s="39">
        <v>38971</v>
      </c>
      <c r="B276" s="40">
        <v>2878</v>
      </c>
      <c r="C276" s="41" t="s">
        <v>166</v>
      </c>
      <c r="D276" s="41" t="s">
        <v>156</v>
      </c>
      <c r="E276" s="41" t="s">
        <v>167</v>
      </c>
      <c r="F276" s="41" t="s">
        <v>158</v>
      </c>
    </row>
    <row r="277" spans="1:6" ht="15.75" thickBot="1" x14ac:dyDescent="0.3">
      <c r="A277" s="39">
        <v>38971</v>
      </c>
      <c r="B277" s="40">
        <v>9095</v>
      </c>
      <c r="C277" s="41" t="s">
        <v>155</v>
      </c>
      <c r="D277" s="41" t="s">
        <v>156</v>
      </c>
      <c r="E277" s="41" t="s">
        <v>157</v>
      </c>
      <c r="F277" s="41" t="s">
        <v>158</v>
      </c>
    </row>
    <row r="278" spans="1:6" ht="15.75" thickBot="1" x14ac:dyDescent="0.3">
      <c r="A278" s="39">
        <v>38971</v>
      </c>
      <c r="B278" s="40">
        <v>13519</v>
      </c>
      <c r="C278" s="41" t="s">
        <v>160</v>
      </c>
      <c r="D278" s="41" t="s">
        <v>156</v>
      </c>
      <c r="E278" s="41" t="s">
        <v>157</v>
      </c>
      <c r="F278" s="41" t="s">
        <v>162</v>
      </c>
    </row>
    <row r="279" spans="1:6" ht="15.75" thickBot="1" x14ac:dyDescent="0.3">
      <c r="A279" s="39">
        <v>38971</v>
      </c>
      <c r="B279" s="40">
        <v>12418</v>
      </c>
      <c r="C279" s="41" t="s">
        <v>163</v>
      </c>
      <c r="D279" s="41" t="s">
        <v>156</v>
      </c>
      <c r="E279" s="41" t="s">
        <v>167</v>
      </c>
      <c r="F279" s="41" t="s">
        <v>158</v>
      </c>
    </row>
    <row r="280" spans="1:6" ht="15.75" thickBot="1" x14ac:dyDescent="0.3">
      <c r="A280" s="39">
        <v>38972</v>
      </c>
      <c r="B280" s="40">
        <v>5761</v>
      </c>
      <c r="C280" s="41" t="s">
        <v>166</v>
      </c>
      <c r="D280" s="41" t="s">
        <v>161</v>
      </c>
      <c r="E280" s="41" t="s">
        <v>157</v>
      </c>
      <c r="F280" s="41" t="s">
        <v>158</v>
      </c>
    </row>
    <row r="281" spans="1:6" ht="15.75" thickBot="1" x14ac:dyDescent="0.3">
      <c r="A281" s="39">
        <v>38972</v>
      </c>
      <c r="B281" s="40">
        <v>100</v>
      </c>
      <c r="C281" s="41" t="s">
        <v>163</v>
      </c>
      <c r="D281" s="41" t="s">
        <v>156</v>
      </c>
      <c r="E281" s="41" t="s">
        <v>157</v>
      </c>
      <c r="F281" s="41" t="s">
        <v>158</v>
      </c>
    </row>
    <row r="282" spans="1:6" ht="15.75" thickBot="1" x14ac:dyDescent="0.3">
      <c r="A282" s="39">
        <v>38972</v>
      </c>
      <c r="B282" s="40">
        <v>2000</v>
      </c>
      <c r="C282" s="41" t="s">
        <v>160</v>
      </c>
      <c r="D282" s="41" t="s">
        <v>156</v>
      </c>
      <c r="E282" s="41" t="s">
        <v>167</v>
      </c>
      <c r="F282" s="41" t="s">
        <v>162</v>
      </c>
    </row>
    <row r="283" spans="1:6" ht="15.75" thickBot="1" x14ac:dyDescent="0.3">
      <c r="A283" s="39">
        <v>38972</v>
      </c>
      <c r="B283" s="40">
        <v>100</v>
      </c>
      <c r="C283" s="41" t="s">
        <v>163</v>
      </c>
      <c r="D283" s="41" t="s">
        <v>156</v>
      </c>
      <c r="E283" s="41" t="s">
        <v>157</v>
      </c>
      <c r="F283" s="41" t="s">
        <v>162</v>
      </c>
    </row>
    <row r="284" spans="1:6" ht="15.75" thickBot="1" x14ac:dyDescent="0.3">
      <c r="A284" s="39">
        <v>38972</v>
      </c>
      <c r="B284" s="40">
        <v>5000</v>
      </c>
      <c r="C284" s="41" t="s">
        <v>160</v>
      </c>
      <c r="D284" s="41" t="s">
        <v>156</v>
      </c>
      <c r="E284" s="41" t="s">
        <v>157</v>
      </c>
      <c r="F284" s="41" t="s">
        <v>158</v>
      </c>
    </row>
    <row r="285" spans="1:6" ht="15.75" thickBot="1" x14ac:dyDescent="0.3">
      <c r="A285" s="39">
        <v>38972</v>
      </c>
      <c r="B285" s="40">
        <v>6573</v>
      </c>
      <c r="C285" s="41" t="s">
        <v>163</v>
      </c>
      <c r="D285" s="41" t="s">
        <v>156</v>
      </c>
      <c r="E285" s="41" t="s">
        <v>167</v>
      </c>
      <c r="F285" s="41" t="s">
        <v>162</v>
      </c>
    </row>
    <row r="286" spans="1:6" ht="15.75" thickBot="1" x14ac:dyDescent="0.3">
      <c r="A286" s="39">
        <v>38972</v>
      </c>
      <c r="B286" s="40">
        <v>12006</v>
      </c>
      <c r="C286" s="41" t="s">
        <v>160</v>
      </c>
      <c r="D286" s="41" t="s">
        <v>161</v>
      </c>
      <c r="E286" s="41" t="s">
        <v>157</v>
      </c>
      <c r="F286" s="41" t="s">
        <v>158</v>
      </c>
    </row>
    <row r="287" spans="1:6" ht="15.75" thickBot="1" x14ac:dyDescent="0.3">
      <c r="A287" s="39">
        <v>38972</v>
      </c>
      <c r="B287" s="40">
        <v>4540</v>
      </c>
      <c r="C287" s="41" t="s">
        <v>163</v>
      </c>
      <c r="D287" s="41" t="s">
        <v>156</v>
      </c>
      <c r="E287" s="41" t="s">
        <v>157</v>
      </c>
      <c r="F287" s="41" t="s">
        <v>158</v>
      </c>
    </row>
    <row r="288" spans="1:6" ht="15.75" thickBot="1" x14ac:dyDescent="0.3">
      <c r="A288" s="39">
        <v>38972</v>
      </c>
      <c r="B288" s="40">
        <v>16000</v>
      </c>
      <c r="C288" s="41" t="s">
        <v>160</v>
      </c>
      <c r="D288" s="41" t="s">
        <v>156</v>
      </c>
      <c r="E288" s="41" t="s">
        <v>167</v>
      </c>
      <c r="F288" s="41" t="s">
        <v>158</v>
      </c>
    </row>
    <row r="289" spans="1:6" ht="15.75" thickBot="1" x14ac:dyDescent="0.3">
      <c r="A289" s="39">
        <v>38972</v>
      </c>
      <c r="B289" s="40">
        <v>400</v>
      </c>
      <c r="C289" s="41" t="s">
        <v>163</v>
      </c>
      <c r="D289" s="41" t="s">
        <v>156</v>
      </c>
      <c r="E289" s="41" t="s">
        <v>157</v>
      </c>
      <c r="F289" s="41" t="s">
        <v>162</v>
      </c>
    </row>
    <row r="290" spans="1:6" ht="15.75" thickBot="1" x14ac:dyDescent="0.3">
      <c r="A290" s="39">
        <v>38972</v>
      </c>
      <c r="B290" s="40">
        <v>11931</v>
      </c>
      <c r="C290" s="41" t="s">
        <v>166</v>
      </c>
      <c r="D290" s="41" t="s">
        <v>161</v>
      </c>
      <c r="E290" s="41" t="s">
        <v>157</v>
      </c>
      <c r="F290" s="41" t="s">
        <v>158</v>
      </c>
    </row>
    <row r="291" spans="1:6" ht="15.75" thickBot="1" x14ac:dyDescent="0.3">
      <c r="A291" s="39">
        <v>38972</v>
      </c>
      <c r="B291" s="40">
        <v>10431</v>
      </c>
      <c r="C291" s="41" t="s">
        <v>160</v>
      </c>
      <c r="D291" s="41" t="s">
        <v>161</v>
      </c>
      <c r="E291" s="41" t="s">
        <v>169</v>
      </c>
      <c r="F291" s="41" t="s">
        <v>162</v>
      </c>
    </row>
    <row r="292" spans="1:6" ht="15.75" thickBot="1" x14ac:dyDescent="0.3">
      <c r="A292" s="39">
        <v>38972</v>
      </c>
      <c r="B292" s="40">
        <v>400</v>
      </c>
      <c r="C292" s="41" t="s">
        <v>163</v>
      </c>
      <c r="D292" s="41" t="s">
        <v>161</v>
      </c>
      <c r="E292" s="41" t="s">
        <v>157</v>
      </c>
      <c r="F292" s="41" t="s">
        <v>158</v>
      </c>
    </row>
    <row r="293" spans="1:6" ht="15.75" thickBot="1" x14ac:dyDescent="0.3">
      <c r="A293" s="39">
        <v>38972</v>
      </c>
      <c r="B293" s="40">
        <v>1325</v>
      </c>
      <c r="C293" s="41" t="s">
        <v>163</v>
      </c>
      <c r="D293" s="41" t="s">
        <v>156</v>
      </c>
      <c r="E293" s="41" t="s">
        <v>157</v>
      </c>
      <c r="F293" s="41" t="s">
        <v>162</v>
      </c>
    </row>
    <row r="294" spans="1:6" ht="15.75" thickBot="1" x14ac:dyDescent="0.3">
      <c r="A294" s="39">
        <v>38972</v>
      </c>
      <c r="B294" s="40">
        <v>14722</v>
      </c>
      <c r="C294" s="41" t="s">
        <v>163</v>
      </c>
      <c r="D294" s="41" t="s">
        <v>161</v>
      </c>
      <c r="E294" s="41" t="s">
        <v>169</v>
      </c>
      <c r="F294" s="41" t="s">
        <v>158</v>
      </c>
    </row>
    <row r="295" spans="1:6" ht="15.75" thickBot="1" x14ac:dyDescent="0.3">
      <c r="A295" s="39">
        <v>38972</v>
      </c>
      <c r="B295" s="40">
        <v>8613</v>
      </c>
      <c r="C295" s="41" t="s">
        <v>160</v>
      </c>
      <c r="D295" s="41" t="s">
        <v>156</v>
      </c>
      <c r="E295" s="41" t="s">
        <v>157</v>
      </c>
      <c r="F295" s="41" t="s">
        <v>162</v>
      </c>
    </row>
    <row r="296" spans="1:6" ht="15.75" thickBot="1" x14ac:dyDescent="0.3">
      <c r="A296" s="39">
        <v>38972</v>
      </c>
      <c r="B296" s="40">
        <v>14644</v>
      </c>
      <c r="C296" s="41" t="s">
        <v>160</v>
      </c>
      <c r="D296" s="41" t="s">
        <v>156</v>
      </c>
      <c r="E296" s="41" t="s">
        <v>169</v>
      </c>
      <c r="F296" s="41" t="s">
        <v>162</v>
      </c>
    </row>
    <row r="297" spans="1:6" ht="15.75" thickBot="1" x14ac:dyDescent="0.3">
      <c r="A297" s="39">
        <v>38972</v>
      </c>
      <c r="B297" s="40">
        <v>7000</v>
      </c>
      <c r="C297" s="41" t="s">
        <v>166</v>
      </c>
      <c r="D297" s="41" t="s">
        <v>161</v>
      </c>
      <c r="E297" s="41" t="s">
        <v>167</v>
      </c>
      <c r="F297" s="41" t="s">
        <v>158</v>
      </c>
    </row>
    <row r="298" spans="1:6" ht="15.75" thickBot="1" x14ac:dyDescent="0.3">
      <c r="A298" s="39">
        <v>38972</v>
      </c>
      <c r="B298" s="40">
        <v>17000</v>
      </c>
      <c r="C298" s="41" t="s">
        <v>160</v>
      </c>
      <c r="D298" s="41" t="s">
        <v>161</v>
      </c>
      <c r="E298" s="41" t="s">
        <v>157</v>
      </c>
      <c r="F298" s="41" t="s">
        <v>158</v>
      </c>
    </row>
    <row r="299" spans="1:6" ht="15.75" thickBot="1" x14ac:dyDescent="0.3">
      <c r="A299" s="39">
        <v>38972</v>
      </c>
      <c r="B299" s="40">
        <v>124</v>
      </c>
      <c r="C299" s="41" t="s">
        <v>163</v>
      </c>
      <c r="D299" s="41" t="s">
        <v>161</v>
      </c>
      <c r="E299" s="41" t="s">
        <v>157</v>
      </c>
      <c r="F299" s="41" t="s">
        <v>158</v>
      </c>
    </row>
    <row r="300" spans="1:6" ht="15.75" thickBot="1" x14ac:dyDescent="0.3">
      <c r="A300" s="39">
        <v>38972</v>
      </c>
      <c r="B300" s="40">
        <v>3000</v>
      </c>
      <c r="C300" s="41" t="s">
        <v>163</v>
      </c>
      <c r="D300" s="41" t="s">
        <v>156</v>
      </c>
      <c r="E300" s="41" t="s">
        <v>157</v>
      </c>
      <c r="F300" s="41" t="s">
        <v>158</v>
      </c>
    </row>
    <row r="301" spans="1:6" ht="15.75" thickBot="1" x14ac:dyDescent="0.3">
      <c r="A301" s="39">
        <v>38972</v>
      </c>
      <c r="B301" s="40">
        <v>11798</v>
      </c>
      <c r="C301" s="41" t="s">
        <v>163</v>
      </c>
      <c r="D301" s="41" t="s">
        <v>156</v>
      </c>
      <c r="E301" s="41" t="s">
        <v>167</v>
      </c>
      <c r="F301" s="41" t="s">
        <v>162</v>
      </c>
    </row>
    <row r="302" spans="1:6" ht="15.75" thickBot="1" x14ac:dyDescent="0.3">
      <c r="A302" s="39">
        <v>38972</v>
      </c>
      <c r="B302" s="40">
        <v>250</v>
      </c>
      <c r="C302" s="41" t="s">
        <v>166</v>
      </c>
      <c r="D302" s="41" t="s">
        <v>161</v>
      </c>
      <c r="E302" s="41" t="s">
        <v>167</v>
      </c>
      <c r="F302" s="41" t="s">
        <v>158</v>
      </c>
    </row>
    <row r="303" spans="1:6" ht="15.75" thickBot="1" x14ac:dyDescent="0.3">
      <c r="A303" s="39">
        <v>38973</v>
      </c>
      <c r="B303" s="40">
        <v>12000</v>
      </c>
      <c r="C303" s="41" t="s">
        <v>160</v>
      </c>
      <c r="D303" s="41" t="s">
        <v>156</v>
      </c>
      <c r="E303" s="41" t="s">
        <v>169</v>
      </c>
      <c r="F303" s="41" t="s">
        <v>158</v>
      </c>
    </row>
    <row r="304" spans="1:6" ht="15.75" thickBot="1" x14ac:dyDescent="0.3">
      <c r="A304" s="39">
        <v>38973</v>
      </c>
      <c r="B304" s="40">
        <v>12000</v>
      </c>
      <c r="C304" s="41" t="s">
        <v>160</v>
      </c>
      <c r="D304" s="41" t="s">
        <v>156</v>
      </c>
      <c r="E304" s="41" t="s">
        <v>167</v>
      </c>
      <c r="F304" s="41" t="s">
        <v>158</v>
      </c>
    </row>
    <row r="305" spans="1:6" ht="15.75" thickBot="1" x14ac:dyDescent="0.3">
      <c r="A305" s="39">
        <v>38973</v>
      </c>
      <c r="B305" s="40">
        <v>2749</v>
      </c>
      <c r="C305" s="41" t="s">
        <v>163</v>
      </c>
      <c r="D305" s="41" t="s">
        <v>156</v>
      </c>
      <c r="E305" s="41" t="s">
        <v>157</v>
      </c>
      <c r="F305" s="41" t="s">
        <v>158</v>
      </c>
    </row>
    <row r="306" spans="1:6" ht="15.75" thickBot="1" x14ac:dyDescent="0.3">
      <c r="A306" s="39">
        <v>38973</v>
      </c>
      <c r="B306" s="40">
        <v>19000</v>
      </c>
      <c r="C306" s="41" t="s">
        <v>166</v>
      </c>
      <c r="D306" s="41" t="s">
        <v>156</v>
      </c>
      <c r="E306" s="41" t="s">
        <v>157</v>
      </c>
      <c r="F306" s="41" t="s">
        <v>162</v>
      </c>
    </row>
    <row r="307" spans="1:6" ht="15.75" thickBot="1" x14ac:dyDescent="0.3">
      <c r="A307" s="39">
        <v>38973</v>
      </c>
      <c r="B307" s="40">
        <v>10202</v>
      </c>
      <c r="C307" s="41" t="s">
        <v>160</v>
      </c>
      <c r="D307" s="41" t="s">
        <v>156</v>
      </c>
      <c r="E307" s="41" t="s">
        <v>167</v>
      </c>
      <c r="F307" s="41" t="s">
        <v>158</v>
      </c>
    </row>
    <row r="308" spans="1:6" ht="15.75" thickBot="1" x14ac:dyDescent="0.3">
      <c r="A308" s="39">
        <v>38973</v>
      </c>
      <c r="B308" s="40">
        <v>9095</v>
      </c>
      <c r="C308" s="41" t="s">
        <v>155</v>
      </c>
      <c r="D308" s="41" t="s">
        <v>156</v>
      </c>
      <c r="E308" s="41" t="s">
        <v>157</v>
      </c>
      <c r="F308" s="41" t="s">
        <v>158</v>
      </c>
    </row>
    <row r="309" spans="1:6" ht="15.75" thickBot="1" x14ac:dyDescent="0.3">
      <c r="A309" s="39">
        <v>38973</v>
      </c>
      <c r="B309" s="40">
        <v>500</v>
      </c>
      <c r="C309" s="41" t="s">
        <v>166</v>
      </c>
      <c r="D309" s="41" t="s">
        <v>156</v>
      </c>
      <c r="E309" s="41" t="s">
        <v>169</v>
      </c>
      <c r="F309" s="41" t="s">
        <v>158</v>
      </c>
    </row>
    <row r="310" spans="1:6" ht="15.75" thickBot="1" x14ac:dyDescent="0.3">
      <c r="A310" s="39">
        <v>38973</v>
      </c>
      <c r="B310" s="40">
        <v>75000</v>
      </c>
      <c r="C310" s="41" t="s">
        <v>160</v>
      </c>
      <c r="D310" s="41" t="s">
        <v>156</v>
      </c>
      <c r="E310" s="41" t="s">
        <v>167</v>
      </c>
      <c r="F310" s="41" t="s">
        <v>158</v>
      </c>
    </row>
    <row r="311" spans="1:6" ht="15.75" thickBot="1" x14ac:dyDescent="0.3">
      <c r="A311" s="39">
        <v>38973</v>
      </c>
      <c r="B311" s="40">
        <v>3525</v>
      </c>
      <c r="C311" s="41" t="s">
        <v>160</v>
      </c>
      <c r="D311" s="41" t="s">
        <v>156</v>
      </c>
      <c r="E311" s="41" t="s">
        <v>167</v>
      </c>
      <c r="F311" s="41" t="s">
        <v>158</v>
      </c>
    </row>
    <row r="312" spans="1:6" ht="15.75" thickBot="1" x14ac:dyDescent="0.3">
      <c r="A312" s="39">
        <v>38973</v>
      </c>
      <c r="B312" s="40">
        <v>12000</v>
      </c>
      <c r="C312" s="41" t="s">
        <v>163</v>
      </c>
      <c r="D312" s="41" t="s">
        <v>156</v>
      </c>
      <c r="E312" s="41" t="s">
        <v>157</v>
      </c>
      <c r="F312" s="41" t="s">
        <v>158</v>
      </c>
    </row>
    <row r="313" spans="1:6" ht="15.75" thickBot="1" x14ac:dyDescent="0.3">
      <c r="A313" s="39">
        <v>38973</v>
      </c>
      <c r="B313" s="40">
        <v>12000</v>
      </c>
      <c r="C313" s="41" t="s">
        <v>160</v>
      </c>
      <c r="D313" s="41" t="s">
        <v>156</v>
      </c>
      <c r="E313" s="41" t="s">
        <v>167</v>
      </c>
      <c r="F313" s="41" t="s">
        <v>158</v>
      </c>
    </row>
    <row r="314" spans="1:6" ht="15.75" thickBot="1" x14ac:dyDescent="0.3">
      <c r="A314" s="39">
        <v>38973</v>
      </c>
      <c r="B314" s="40">
        <v>500</v>
      </c>
      <c r="C314" s="41" t="s">
        <v>166</v>
      </c>
      <c r="D314" s="41" t="s">
        <v>156</v>
      </c>
      <c r="E314" s="41" t="s">
        <v>169</v>
      </c>
      <c r="F314" s="41" t="s">
        <v>158</v>
      </c>
    </row>
    <row r="315" spans="1:6" ht="15.75" thickBot="1" x14ac:dyDescent="0.3">
      <c r="A315" s="39">
        <v>38973</v>
      </c>
      <c r="B315" s="40">
        <v>500</v>
      </c>
      <c r="C315" s="41" t="s">
        <v>163</v>
      </c>
      <c r="D315" s="41" t="s">
        <v>156</v>
      </c>
      <c r="E315" s="41" t="s">
        <v>169</v>
      </c>
      <c r="F315" s="41" t="s">
        <v>158</v>
      </c>
    </row>
    <row r="316" spans="1:6" ht="15.75" thickBot="1" x14ac:dyDescent="0.3">
      <c r="A316" s="39">
        <v>38973</v>
      </c>
      <c r="B316" s="40">
        <v>6000</v>
      </c>
      <c r="C316" s="41" t="s">
        <v>166</v>
      </c>
      <c r="D316" s="41" t="s">
        <v>156</v>
      </c>
      <c r="E316" s="41" t="s">
        <v>157</v>
      </c>
      <c r="F316" s="41" t="s">
        <v>158</v>
      </c>
    </row>
    <row r="317" spans="1:6" ht="15.75" thickBot="1" x14ac:dyDescent="0.3">
      <c r="A317" s="39">
        <v>38973</v>
      </c>
      <c r="B317" s="40">
        <v>13500</v>
      </c>
      <c r="C317" s="41" t="s">
        <v>160</v>
      </c>
      <c r="D317" s="41" t="s">
        <v>156</v>
      </c>
      <c r="E317" s="41" t="s">
        <v>167</v>
      </c>
      <c r="F317" s="41" t="s">
        <v>158</v>
      </c>
    </row>
    <row r="318" spans="1:6" ht="15.75" thickBot="1" x14ac:dyDescent="0.3">
      <c r="A318" s="39">
        <v>38973</v>
      </c>
      <c r="B318" s="40">
        <v>12535</v>
      </c>
      <c r="C318" s="41" t="s">
        <v>160</v>
      </c>
      <c r="D318" s="41" t="s">
        <v>156</v>
      </c>
      <c r="E318" s="41" t="s">
        <v>157</v>
      </c>
      <c r="F318" s="41" t="s">
        <v>158</v>
      </c>
    </row>
    <row r="319" spans="1:6" ht="15.75" thickBot="1" x14ac:dyDescent="0.3">
      <c r="A319" s="39">
        <v>38973</v>
      </c>
      <c r="B319" s="40">
        <v>16000</v>
      </c>
      <c r="C319" s="41" t="s">
        <v>160</v>
      </c>
      <c r="D319" s="41" t="s">
        <v>156</v>
      </c>
      <c r="E319" s="41" t="s">
        <v>157</v>
      </c>
      <c r="F319" s="41" t="s">
        <v>158</v>
      </c>
    </row>
    <row r="320" spans="1:6" ht="15.75" thickBot="1" x14ac:dyDescent="0.3">
      <c r="A320" s="39">
        <v>38973</v>
      </c>
      <c r="B320" s="40">
        <v>8000</v>
      </c>
      <c r="C320" s="41" t="s">
        <v>166</v>
      </c>
      <c r="D320" s="41" t="s">
        <v>156</v>
      </c>
      <c r="E320" s="41" t="s">
        <v>157</v>
      </c>
      <c r="F320" s="41" t="s">
        <v>158</v>
      </c>
    </row>
    <row r="321" spans="1:6" ht="15.75" thickBot="1" x14ac:dyDescent="0.3">
      <c r="A321" s="39">
        <v>38973</v>
      </c>
      <c r="B321" s="40">
        <v>6190</v>
      </c>
      <c r="C321" s="41" t="s">
        <v>160</v>
      </c>
      <c r="D321" s="41" t="s">
        <v>161</v>
      </c>
      <c r="E321" s="41" t="s">
        <v>157</v>
      </c>
      <c r="F321" s="41" t="s">
        <v>162</v>
      </c>
    </row>
    <row r="322" spans="1:6" ht="15.75" thickBot="1" x14ac:dyDescent="0.3">
      <c r="A322" s="39">
        <v>38973</v>
      </c>
      <c r="B322" s="40">
        <v>500</v>
      </c>
      <c r="C322" s="41" t="s">
        <v>163</v>
      </c>
      <c r="D322" s="41" t="s">
        <v>156</v>
      </c>
      <c r="E322" s="41" t="s">
        <v>157</v>
      </c>
      <c r="F322" s="41" t="s">
        <v>158</v>
      </c>
    </row>
    <row r="323" spans="1:6" ht="15.75" thickBot="1" x14ac:dyDescent="0.3">
      <c r="A323" s="39">
        <v>38973</v>
      </c>
      <c r="B323" s="40">
        <v>3075</v>
      </c>
      <c r="C323" s="41" t="s">
        <v>163</v>
      </c>
      <c r="D323" s="41" t="s">
        <v>156</v>
      </c>
      <c r="E323" s="41" t="s">
        <v>169</v>
      </c>
      <c r="F323" s="41" t="s">
        <v>158</v>
      </c>
    </row>
    <row r="324" spans="1:6" ht="15.75" thickBot="1" x14ac:dyDescent="0.3">
      <c r="A324" s="39">
        <v>38973</v>
      </c>
      <c r="B324" s="40">
        <v>4000</v>
      </c>
      <c r="C324" s="41" t="s">
        <v>163</v>
      </c>
      <c r="D324" s="41" t="s">
        <v>156</v>
      </c>
      <c r="E324" s="41" t="s">
        <v>157</v>
      </c>
      <c r="F324" s="41" t="s">
        <v>158</v>
      </c>
    </row>
    <row r="325" spans="1:6" ht="15.75" thickBot="1" x14ac:dyDescent="0.3">
      <c r="A325" s="39">
        <v>38973</v>
      </c>
      <c r="B325" s="40">
        <v>500</v>
      </c>
      <c r="C325" s="41" t="s">
        <v>163</v>
      </c>
      <c r="D325" s="41" t="s">
        <v>156</v>
      </c>
      <c r="E325" s="41" t="s">
        <v>157</v>
      </c>
      <c r="F325" s="41" t="s">
        <v>158</v>
      </c>
    </row>
    <row r="326" spans="1:6" ht="15.75" thickBot="1" x14ac:dyDescent="0.3">
      <c r="A326" s="39">
        <v>38973</v>
      </c>
      <c r="B326" s="40">
        <v>500</v>
      </c>
      <c r="C326" s="41" t="s">
        <v>166</v>
      </c>
      <c r="D326" s="41" t="s">
        <v>156</v>
      </c>
      <c r="E326" s="41" t="s">
        <v>169</v>
      </c>
      <c r="F326" s="41" t="s">
        <v>158</v>
      </c>
    </row>
    <row r="327" spans="1:6" ht="15.75" thickBot="1" x14ac:dyDescent="0.3">
      <c r="A327" s="39">
        <v>38973</v>
      </c>
      <c r="B327" s="40">
        <v>5723</v>
      </c>
      <c r="C327" s="41" t="s">
        <v>166</v>
      </c>
      <c r="D327" s="41" t="s">
        <v>161</v>
      </c>
      <c r="E327" s="41" t="s">
        <v>157</v>
      </c>
      <c r="F327" s="41" t="s">
        <v>162</v>
      </c>
    </row>
    <row r="328" spans="1:6" ht="15.75" thickBot="1" x14ac:dyDescent="0.3">
      <c r="A328" s="39">
        <v>38973</v>
      </c>
      <c r="B328" s="40">
        <v>4000</v>
      </c>
      <c r="C328" s="41" t="s">
        <v>163</v>
      </c>
      <c r="D328" s="41" t="s">
        <v>156</v>
      </c>
      <c r="E328" s="41" t="s">
        <v>167</v>
      </c>
      <c r="F328" s="41" t="s">
        <v>162</v>
      </c>
    </row>
    <row r="329" spans="1:6" ht="15.75" thickBot="1" x14ac:dyDescent="0.3">
      <c r="A329" s="39">
        <v>38973</v>
      </c>
      <c r="B329" s="40">
        <v>8000</v>
      </c>
      <c r="C329" s="41" t="s">
        <v>166</v>
      </c>
      <c r="D329" s="41" t="s">
        <v>156</v>
      </c>
      <c r="E329" s="41" t="s">
        <v>157</v>
      </c>
      <c r="F329" s="41" t="s">
        <v>158</v>
      </c>
    </row>
    <row r="330" spans="1:6" ht="15.75" thickBot="1" x14ac:dyDescent="0.3">
      <c r="A330" s="39">
        <v>38973</v>
      </c>
      <c r="B330" s="40">
        <v>7000</v>
      </c>
      <c r="C330" s="41" t="s">
        <v>155</v>
      </c>
      <c r="D330" s="41" t="s">
        <v>156</v>
      </c>
      <c r="E330" s="41" t="s">
        <v>167</v>
      </c>
      <c r="F330" s="41" t="s">
        <v>158</v>
      </c>
    </row>
    <row r="331" spans="1:6" ht="15.75" thickBot="1" x14ac:dyDescent="0.3">
      <c r="A331" s="39">
        <v>38973</v>
      </c>
      <c r="B331" s="40">
        <v>12000</v>
      </c>
      <c r="C331" s="41" t="s">
        <v>160</v>
      </c>
      <c r="D331" s="41" t="s">
        <v>156</v>
      </c>
      <c r="E331" s="41" t="s">
        <v>169</v>
      </c>
      <c r="F331" s="41" t="s">
        <v>158</v>
      </c>
    </row>
    <row r="332" spans="1:6" ht="15.75" thickBot="1" x14ac:dyDescent="0.3">
      <c r="A332" s="39">
        <v>38973</v>
      </c>
      <c r="B332" s="40">
        <v>5245</v>
      </c>
      <c r="C332" s="41" t="s">
        <v>166</v>
      </c>
      <c r="D332" s="41" t="s">
        <v>156</v>
      </c>
      <c r="E332" s="41" t="s">
        <v>157</v>
      </c>
      <c r="F332" s="41" t="s">
        <v>158</v>
      </c>
    </row>
    <row r="333" spans="1:6" ht="15.75" thickBot="1" x14ac:dyDescent="0.3">
      <c r="A333" s="39">
        <v>38973</v>
      </c>
      <c r="B333" s="40">
        <v>3596</v>
      </c>
      <c r="C333" s="41" t="s">
        <v>166</v>
      </c>
      <c r="D333" s="41" t="s">
        <v>156</v>
      </c>
      <c r="E333" s="41" t="s">
        <v>167</v>
      </c>
      <c r="F333" s="41" t="s">
        <v>162</v>
      </c>
    </row>
    <row r="334" spans="1:6" ht="15.75" thickBot="1" x14ac:dyDescent="0.3">
      <c r="A334" s="39">
        <v>38973</v>
      </c>
      <c r="B334" s="40">
        <v>5000</v>
      </c>
      <c r="C334" s="41" t="s">
        <v>163</v>
      </c>
      <c r="D334" s="41" t="s">
        <v>156</v>
      </c>
      <c r="E334" s="41" t="s">
        <v>167</v>
      </c>
      <c r="F334" s="41" t="s">
        <v>158</v>
      </c>
    </row>
    <row r="335" spans="1:6" ht="15.75" thickBot="1" x14ac:dyDescent="0.3">
      <c r="A335" s="39">
        <v>38973</v>
      </c>
      <c r="B335" s="40">
        <v>7882</v>
      </c>
      <c r="C335" s="41" t="s">
        <v>166</v>
      </c>
      <c r="D335" s="41" t="s">
        <v>161</v>
      </c>
      <c r="E335" s="41" t="s">
        <v>167</v>
      </c>
      <c r="F335" s="41" t="s">
        <v>162</v>
      </c>
    </row>
    <row r="336" spans="1:6" ht="15.75" thickBot="1" x14ac:dyDescent="0.3">
      <c r="A336" s="39">
        <v>38973</v>
      </c>
      <c r="B336" s="40">
        <v>6000</v>
      </c>
      <c r="C336" s="41" t="s">
        <v>166</v>
      </c>
      <c r="D336" s="41" t="s">
        <v>156</v>
      </c>
      <c r="E336" s="41" t="s">
        <v>157</v>
      </c>
      <c r="F336" s="41" t="s">
        <v>158</v>
      </c>
    </row>
    <row r="337" spans="1:6" ht="15.75" thickBot="1" x14ac:dyDescent="0.3">
      <c r="A337" s="39">
        <v>38973</v>
      </c>
      <c r="B337" s="40">
        <v>4357</v>
      </c>
      <c r="C337" s="41" t="s">
        <v>163</v>
      </c>
      <c r="D337" s="41" t="s">
        <v>161</v>
      </c>
      <c r="E337" s="41" t="s">
        <v>167</v>
      </c>
      <c r="F337" s="41" t="s">
        <v>158</v>
      </c>
    </row>
    <row r="338" spans="1:6" ht="15.75" thickBot="1" x14ac:dyDescent="0.3">
      <c r="A338" s="39">
        <v>38973</v>
      </c>
      <c r="B338" s="40">
        <v>9095</v>
      </c>
      <c r="C338" s="41" t="s">
        <v>155</v>
      </c>
      <c r="D338" s="41" t="s">
        <v>156</v>
      </c>
      <c r="E338" s="41" t="s">
        <v>157</v>
      </c>
      <c r="F338" s="41" t="s">
        <v>158</v>
      </c>
    </row>
    <row r="339" spans="1:6" ht="15.75" thickBot="1" x14ac:dyDescent="0.3">
      <c r="A339" s="39">
        <v>38973</v>
      </c>
      <c r="B339" s="40">
        <v>7289</v>
      </c>
      <c r="C339" s="41" t="s">
        <v>163</v>
      </c>
      <c r="D339" s="41" t="s">
        <v>156</v>
      </c>
      <c r="E339" s="41" t="s">
        <v>157</v>
      </c>
      <c r="F339" s="41" t="s">
        <v>162</v>
      </c>
    </row>
    <row r="340" spans="1:6" ht="15.75" thickBot="1" x14ac:dyDescent="0.3">
      <c r="A340" s="39">
        <v>38973</v>
      </c>
      <c r="B340" s="40">
        <v>6000</v>
      </c>
      <c r="C340" s="41" t="s">
        <v>166</v>
      </c>
      <c r="D340" s="41" t="s">
        <v>156</v>
      </c>
      <c r="E340" s="41" t="s">
        <v>157</v>
      </c>
      <c r="F340" s="41" t="s">
        <v>158</v>
      </c>
    </row>
    <row r="341" spans="1:6" ht="15.75" thickBot="1" x14ac:dyDescent="0.3">
      <c r="A341" s="39">
        <v>38973</v>
      </c>
      <c r="B341" s="40">
        <v>13636</v>
      </c>
      <c r="C341" s="41" t="s">
        <v>160</v>
      </c>
      <c r="D341" s="41" t="s">
        <v>156</v>
      </c>
      <c r="E341" s="41" t="s">
        <v>167</v>
      </c>
      <c r="F341" s="41" t="s">
        <v>158</v>
      </c>
    </row>
    <row r="342" spans="1:6" ht="15.75" thickBot="1" x14ac:dyDescent="0.3">
      <c r="A342" s="39">
        <v>38973</v>
      </c>
      <c r="B342" s="40">
        <v>5000</v>
      </c>
      <c r="C342" s="41" t="s">
        <v>166</v>
      </c>
      <c r="D342" s="41" t="s">
        <v>161</v>
      </c>
      <c r="E342" s="41" t="s">
        <v>167</v>
      </c>
      <c r="F342" s="41" t="s">
        <v>158</v>
      </c>
    </row>
    <row r="343" spans="1:6" ht="15.75" thickBot="1" x14ac:dyDescent="0.3">
      <c r="A343" s="39">
        <v>38974</v>
      </c>
      <c r="B343" s="40">
        <v>50000</v>
      </c>
      <c r="C343" s="41" t="s">
        <v>160</v>
      </c>
      <c r="D343" s="41" t="s">
        <v>156</v>
      </c>
      <c r="E343" s="41" t="s">
        <v>167</v>
      </c>
      <c r="F343" s="41" t="s">
        <v>158</v>
      </c>
    </row>
    <row r="344" spans="1:6" ht="15.75" thickBot="1" x14ac:dyDescent="0.3">
      <c r="A344" s="39">
        <v>38974</v>
      </c>
      <c r="B344" s="40">
        <v>12455</v>
      </c>
      <c r="C344" s="41" t="s">
        <v>155</v>
      </c>
      <c r="D344" s="41" t="s">
        <v>161</v>
      </c>
      <c r="E344" s="41" t="s">
        <v>167</v>
      </c>
      <c r="F344" s="41" t="s">
        <v>158</v>
      </c>
    </row>
    <row r="345" spans="1:6" ht="15.75" thickBot="1" x14ac:dyDescent="0.3">
      <c r="A345" s="39">
        <v>38974</v>
      </c>
      <c r="B345" s="40">
        <v>13637</v>
      </c>
      <c r="C345" s="41" t="s">
        <v>166</v>
      </c>
      <c r="D345" s="41" t="s">
        <v>156</v>
      </c>
      <c r="E345" s="41" t="s">
        <v>167</v>
      </c>
      <c r="F345" s="41" t="s">
        <v>162</v>
      </c>
    </row>
    <row r="346" spans="1:6" ht="15.75" thickBot="1" x14ac:dyDescent="0.3">
      <c r="A346" s="39">
        <v>38974</v>
      </c>
      <c r="B346" s="40">
        <v>5603</v>
      </c>
      <c r="C346" s="41" t="s">
        <v>166</v>
      </c>
      <c r="D346" s="41" t="s">
        <v>156</v>
      </c>
      <c r="E346" s="41" t="s">
        <v>169</v>
      </c>
      <c r="F346" s="41" t="s">
        <v>158</v>
      </c>
    </row>
    <row r="347" spans="1:6" ht="15.75" thickBot="1" x14ac:dyDescent="0.3">
      <c r="A347" s="39">
        <v>38974</v>
      </c>
      <c r="B347" s="40">
        <v>13899</v>
      </c>
      <c r="C347" s="41" t="s">
        <v>163</v>
      </c>
      <c r="D347" s="41" t="s">
        <v>161</v>
      </c>
      <c r="E347" s="41" t="s">
        <v>157</v>
      </c>
      <c r="F347" s="41" t="s">
        <v>158</v>
      </c>
    </row>
    <row r="348" spans="1:6" ht="15.75" thickBot="1" x14ac:dyDescent="0.3">
      <c r="A348" s="39">
        <v>38974</v>
      </c>
      <c r="B348" s="40">
        <v>11217</v>
      </c>
      <c r="C348" s="41" t="s">
        <v>163</v>
      </c>
      <c r="D348" s="41" t="s">
        <v>161</v>
      </c>
      <c r="E348" s="41" t="s">
        <v>157</v>
      </c>
      <c r="F348" s="41" t="s">
        <v>158</v>
      </c>
    </row>
    <row r="349" spans="1:6" ht="15.75" thickBot="1" x14ac:dyDescent="0.3">
      <c r="A349" s="39">
        <v>38974</v>
      </c>
      <c r="B349" s="40">
        <v>10795</v>
      </c>
      <c r="C349" s="41" t="s">
        <v>160</v>
      </c>
      <c r="D349" s="41" t="s">
        <v>161</v>
      </c>
      <c r="E349" s="41" t="s">
        <v>157</v>
      </c>
      <c r="F349" s="41" t="s">
        <v>158</v>
      </c>
    </row>
    <row r="350" spans="1:6" ht="15.75" thickBot="1" x14ac:dyDescent="0.3">
      <c r="A350" s="39">
        <v>38974</v>
      </c>
      <c r="B350" s="40">
        <v>10122</v>
      </c>
      <c r="C350" s="41" t="s">
        <v>163</v>
      </c>
      <c r="D350" s="41" t="s">
        <v>156</v>
      </c>
      <c r="E350" s="41" t="s">
        <v>157</v>
      </c>
      <c r="F350" s="41" t="s">
        <v>158</v>
      </c>
    </row>
    <row r="351" spans="1:6" ht="15.75" thickBot="1" x14ac:dyDescent="0.3">
      <c r="A351" s="39">
        <v>38974</v>
      </c>
      <c r="B351" s="40">
        <v>3807</v>
      </c>
      <c r="C351" s="41" t="s">
        <v>163</v>
      </c>
      <c r="D351" s="41" t="s">
        <v>156</v>
      </c>
      <c r="E351" s="41" t="s">
        <v>169</v>
      </c>
      <c r="F351" s="41" t="s">
        <v>158</v>
      </c>
    </row>
    <row r="352" spans="1:6" ht="15.75" thickBot="1" x14ac:dyDescent="0.3">
      <c r="A352" s="39">
        <v>38974</v>
      </c>
      <c r="B352" s="40">
        <v>13521</v>
      </c>
      <c r="C352" s="41" t="s">
        <v>166</v>
      </c>
      <c r="D352" s="41" t="s">
        <v>156</v>
      </c>
      <c r="E352" s="41" t="s">
        <v>169</v>
      </c>
      <c r="F352" s="41" t="s">
        <v>158</v>
      </c>
    </row>
    <row r="353" spans="1:6" ht="15.75" thickBot="1" x14ac:dyDescent="0.3">
      <c r="A353" s="39">
        <v>38974</v>
      </c>
      <c r="B353" s="40">
        <v>7649</v>
      </c>
      <c r="C353" s="41" t="s">
        <v>166</v>
      </c>
      <c r="D353" s="41" t="s">
        <v>161</v>
      </c>
      <c r="E353" s="41" t="s">
        <v>157</v>
      </c>
      <c r="F353" s="41" t="s">
        <v>162</v>
      </c>
    </row>
    <row r="354" spans="1:6" ht="15.75" thickBot="1" x14ac:dyDescent="0.3">
      <c r="A354" s="39">
        <v>38974</v>
      </c>
      <c r="B354" s="40">
        <v>7342</v>
      </c>
      <c r="C354" s="41" t="s">
        <v>163</v>
      </c>
      <c r="D354" s="41" t="s">
        <v>156</v>
      </c>
      <c r="E354" s="41" t="s">
        <v>157</v>
      </c>
      <c r="F354" s="41" t="s">
        <v>158</v>
      </c>
    </row>
    <row r="355" spans="1:6" ht="15.75" thickBot="1" x14ac:dyDescent="0.3">
      <c r="A355" s="39">
        <v>38974</v>
      </c>
      <c r="B355" s="40">
        <v>5233</v>
      </c>
      <c r="C355" s="41" t="s">
        <v>166</v>
      </c>
      <c r="D355" s="41" t="s">
        <v>156</v>
      </c>
      <c r="E355" s="41" t="s">
        <v>167</v>
      </c>
      <c r="F355" s="41" t="s">
        <v>162</v>
      </c>
    </row>
    <row r="356" spans="1:6" ht="15.75" thickBot="1" x14ac:dyDescent="0.3">
      <c r="A356" s="39">
        <v>38974</v>
      </c>
      <c r="B356" s="40">
        <v>14227</v>
      </c>
      <c r="C356" s="41" t="s">
        <v>163</v>
      </c>
      <c r="D356" s="41" t="s">
        <v>161</v>
      </c>
      <c r="E356" s="41" t="s">
        <v>167</v>
      </c>
      <c r="F356" s="41" t="s">
        <v>162</v>
      </c>
    </row>
    <row r="357" spans="1:6" ht="15.75" thickBot="1" x14ac:dyDescent="0.3">
      <c r="A357" s="39">
        <v>38974</v>
      </c>
      <c r="B357" s="40">
        <v>133</v>
      </c>
      <c r="C357" s="41" t="s">
        <v>163</v>
      </c>
      <c r="D357" s="41" t="s">
        <v>156</v>
      </c>
      <c r="E357" s="41" t="s">
        <v>169</v>
      </c>
      <c r="F357" s="41" t="s">
        <v>158</v>
      </c>
    </row>
    <row r="358" spans="1:6" ht="15.75" thickBot="1" x14ac:dyDescent="0.3">
      <c r="A358" s="39">
        <v>38974</v>
      </c>
      <c r="B358" s="40">
        <v>15208</v>
      </c>
      <c r="C358" s="41" t="s">
        <v>160</v>
      </c>
      <c r="D358" s="41" t="s">
        <v>156</v>
      </c>
      <c r="E358" s="41" t="s">
        <v>157</v>
      </c>
      <c r="F358" s="41" t="s">
        <v>162</v>
      </c>
    </row>
    <row r="359" spans="1:6" ht="15.75" thickBot="1" x14ac:dyDescent="0.3">
      <c r="A359" s="39">
        <v>38974</v>
      </c>
      <c r="B359" s="40">
        <v>3949</v>
      </c>
      <c r="C359" s="41" t="s">
        <v>166</v>
      </c>
      <c r="D359" s="41" t="s">
        <v>156</v>
      </c>
      <c r="E359" s="41" t="s">
        <v>157</v>
      </c>
      <c r="F359" s="41" t="s">
        <v>162</v>
      </c>
    </row>
    <row r="360" spans="1:6" ht="15.75" thickBot="1" x14ac:dyDescent="0.3">
      <c r="A360" s="39">
        <v>38974</v>
      </c>
      <c r="B360" s="40">
        <v>600</v>
      </c>
      <c r="C360" s="41" t="s">
        <v>166</v>
      </c>
      <c r="D360" s="41" t="s">
        <v>156</v>
      </c>
      <c r="E360" s="41" t="s">
        <v>157</v>
      </c>
      <c r="F360" s="41" t="s">
        <v>158</v>
      </c>
    </row>
    <row r="361" spans="1:6" ht="15.75" thickBot="1" x14ac:dyDescent="0.3">
      <c r="A361" s="39">
        <v>38974</v>
      </c>
      <c r="B361" s="40">
        <v>13000</v>
      </c>
      <c r="C361" s="41" t="s">
        <v>160</v>
      </c>
      <c r="D361" s="41" t="s">
        <v>161</v>
      </c>
      <c r="E361" s="41" t="s">
        <v>169</v>
      </c>
      <c r="F361" s="41" t="s">
        <v>158</v>
      </c>
    </row>
    <row r="362" spans="1:6" ht="15.75" thickBot="1" x14ac:dyDescent="0.3">
      <c r="A362" s="39">
        <v>38974</v>
      </c>
      <c r="B362" s="40">
        <v>10862</v>
      </c>
      <c r="C362" s="41" t="s">
        <v>166</v>
      </c>
      <c r="D362" s="41" t="s">
        <v>156</v>
      </c>
      <c r="E362" s="41" t="s">
        <v>157</v>
      </c>
      <c r="F362" s="41" t="s">
        <v>162</v>
      </c>
    </row>
    <row r="363" spans="1:6" ht="15.75" thickBot="1" x14ac:dyDescent="0.3">
      <c r="A363" s="39">
        <v>38974</v>
      </c>
      <c r="B363" s="40">
        <v>200</v>
      </c>
      <c r="C363" s="41" t="s">
        <v>166</v>
      </c>
      <c r="D363" s="41" t="s">
        <v>156</v>
      </c>
      <c r="E363" s="41" t="s">
        <v>157</v>
      </c>
      <c r="F363" s="41" t="s">
        <v>158</v>
      </c>
    </row>
    <row r="364" spans="1:6" ht="15.75" thickBot="1" x14ac:dyDescent="0.3">
      <c r="A364" s="39">
        <v>38974</v>
      </c>
      <c r="B364" s="40">
        <v>8866</v>
      </c>
      <c r="C364" s="41" t="s">
        <v>163</v>
      </c>
      <c r="D364" s="41" t="s">
        <v>161</v>
      </c>
      <c r="E364" s="41" t="s">
        <v>167</v>
      </c>
      <c r="F364" s="41" t="s">
        <v>162</v>
      </c>
    </row>
    <row r="365" spans="1:6" ht="15.75" thickBot="1" x14ac:dyDescent="0.3">
      <c r="A365" s="39">
        <v>38974</v>
      </c>
      <c r="B365" s="40">
        <v>10000</v>
      </c>
      <c r="C365" s="41" t="s">
        <v>155</v>
      </c>
      <c r="D365" s="41" t="s">
        <v>161</v>
      </c>
      <c r="E365" s="41" t="s">
        <v>167</v>
      </c>
      <c r="F365" s="41" t="s">
        <v>158</v>
      </c>
    </row>
    <row r="366" spans="1:6" ht="15.75" thickBot="1" x14ac:dyDescent="0.3">
      <c r="A366" s="39">
        <v>38974</v>
      </c>
      <c r="B366" s="40">
        <v>6676</v>
      </c>
      <c r="C366" s="41" t="s">
        <v>166</v>
      </c>
      <c r="D366" s="41" t="s">
        <v>161</v>
      </c>
      <c r="E366" s="41" t="s">
        <v>157</v>
      </c>
      <c r="F366" s="41" t="s">
        <v>162</v>
      </c>
    </row>
    <row r="367" spans="1:6" ht="15.75" thickBot="1" x14ac:dyDescent="0.3">
      <c r="A367" s="39">
        <v>38974</v>
      </c>
      <c r="B367" s="40">
        <v>12519</v>
      </c>
      <c r="C367" s="41" t="s">
        <v>160</v>
      </c>
      <c r="D367" s="41" t="s">
        <v>161</v>
      </c>
      <c r="E367" s="41" t="s">
        <v>157</v>
      </c>
      <c r="F367" s="41" t="s">
        <v>158</v>
      </c>
    </row>
    <row r="368" spans="1:6" ht="15.75" thickBot="1" x14ac:dyDescent="0.3">
      <c r="A368" s="39">
        <v>38974</v>
      </c>
      <c r="B368" s="40">
        <v>6762</v>
      </c>
      <c r="C368" s="41" t="s">
        <v>166</v>
      </c>
      <c r="D368" s="41" t="s">
        <v>156</v>
      </c>
      <c r="E368" s="41" t="s">
        <v>157</v>
      </c>
      <c r="F368" s="41" t="s">
        <v>158</v>
      </c>
    </row>
    <row r="369" spans="1:6" ht="15.75" thickBot="1" x14ac:dyDescent="0.3">
      <c r="A369" s="39">
        <v>38975</v>
      </c>
      <c r="B369" s="40">
        <v>14782</v>
      </c>
      <c r="C369" s="41" t="s">
        <v>163</v>
      </c>
      <c r="D369" s="41" t="s">
        <v>161</v>
      </c>
      <c r="E369" s="41" t="s">
        <v>169</v>
      </c>
      <c r="F369" s="41" t="s">
        <v>162</v>
      </c>
    </row>
    <row r="370" spans="1:6" ht="15.75" thickBot="1" x14ac:dyDescent="0.3">
      <c r="A370" s="39">
        <v>38975</v>
      </c>
      <c r="B370" s="40">
        <v>3434</v>
      </c>
      <c r="C370" s="41" t="s">
        <v>163</v>
      </c>
      <c r="D370" s="41" t="s">
        <v>156</v>
      </c>
      <c r="E370" s="41" t="s">
        <v>157</v>
      </c>
      <c r="F370" s="41" t="s">
        <v>158</v>
      </c>
    </row>
    <row r="371" spans="1:6" ht="15.75" thickBot="1" x14ac:dyDescent="0.3">
      <c r="A371" s="39">
        <v>38975</v>
      </c>
      <c r="B371" s="40">
        <v>14679</v>
      </c>
      <c r="C371" s="41" t="s">
        <v>166</v>
      </c>
      <c r="D371" s="41" t="s">
        <v>156</v>
      </c>
      <c r="E371" s="41" t="s">
        <v>169</v>
      </c>
      <c r="F371" s="41" t="s">
        <v>158</v>
      </c>
    </row>
    <row r="372" spans="1:6" ht="15.75" thickBot="1" x14ac:dyDescent="0.3">
      <c r="A372" s="39">
        <v>38975</v>
      </c>
      <c r="B372" s="40">
        <v>4000</v>
      </c>
      <c r="C372" s="41" t="s">
        <v>166</v>
      </c>
      <c r="D372" s="41" t="s">
        <v>156</v>
      </c>
      <c r="E372" s="41" t="s">
        <v>157</v>
      </c>
      <c r="F372" s="41" t="s">
        <v>158</v>
      </c>
    </row>
    <row r="373" spans="1:6" ht="15.75" thickBot="1" x14ac:dyDescent="0.3">
      <c r="A373" s="39">
        <v>38975</v>
      </c>
      <c r="B373" s="40">
        <v>12505</v>
      </c>
      <c r="C373" s="41" t="s">
        <v>160</v>
      </c>
      <c r="D373" s="41" t="s">
        <v>156</v>
      </c>
      <c r="E373" s="41" t="s">
        <v>169</v>
      </c>
      <c r="F373" s="41" t="s">
        <v>158</v>
      </c>
    </row>
    <row r="374" spans="1:6" ht="15.75" thickBot="1" x14ac:dyDescent="0.3">
      <c r="A374" s="39">
        <v>38975</v>
      </c>
      <c r="B374" s="40">
        <v>5879</v>
      </c>
      <c r="C374" s="41" t="s">
        <v>163</v>
      </c>
      <c r="D374" s="41" t="s">
        <v>156</v>
      </c>
      <c r="E374" s="41" t="s">
        <v>157</v>
      </c>
      <c r="F374" s="41" t="s">
        <v>158</v>
      </c>
    </row>
    <row r="375" spans="1:6" ht="15.75" thickBot="1" x14ac:dyDescent="0.3">
      <c r="A375" s="39">
        <v>38975</v>
      </c>
      <c r="B375" s="40">
        <v>7165</v>
      </c>
      <c r="C375" s="41" t="s">
        <v>160</v>
      </c>
      <c r="D375" s="41" t="s">
        <v>156</v>
      </c>
      <c r="E375" s="41" t="s">
        <v>167</v>
      </c>
      <c r="F375" s="41" t="s">
        <v>162</v>
      </c>
    </row>
    <row r="376" spans="1:6" ht="15.75" thickBot="1" x14ac:dyDescent="0.3">
      <c r="A376" s="39">
        <v>38975</v>
      </c>
      <c r="B376" s="40">
        <v>6000</v>
      </c>
      <c r="C376" s="41" t="s">
        <v>163</v>
      </c>
      <c r="D376" s="41" t="s">
        <v>161</v>
      </c>
      <c r="E376" s="41" t="s">
        <v>169</v>
      </c>
      <c r="F376" s="41" t="s">
        <v>158</v>
      </c>
    </row>
    <row r="377" spans="1:6" ht="15.75" thickBot="1" x14ac:dyDescent="0.3">
      <c r="A377" s="39">
        <v>38975</v>
      </c>
      <c r="B377" s="40">
        <v>2000</v>
      </c>
      <c r="C377" s="41" t="s">
        <v>155</v>
      </c>
      <c r="D377" s="41" t="s">
        <v>156</v>
      </c>
      <c r="E377" s="41" t="s">
        <v>169</v>
      </c>
      <c r="F377" s="41" t="s">
        <v>158</v>
      </c>
    </row>
    <row r="378" spans="1:6" ht="15.75" thickBot="1" x14ac:dyDescent="0.3">
      <c r="A378" s="39">
        <v>38975</v>
      </c>
      <c r="B378" s="40">
        <v>11489</v>
      </c>
      <c r="C378" s="41" t="s">
        <v>163</v>
      </c>
      <c r="D378" s="41" t="s">
        <v>161</v>
      </c>
      <c r="E378" s="41" t="s">
        <v>157</v>
      </c>
      <c r="F378" s="41" t="s">
        <v>158</v>
      </c>
    </row>
    <row r="379" spans="1:6" ht="15.75" thickBot="1" x14ac:dyDescent="0.3">
      <c r="A379" s="39">
        <v>38975</v>
      </c>
      <c r="B379" s="40">
        <v>3171</v>
      </c>
      <c r="C379" s="41" t="s">
        <v>163</v>
      </c>
      <c r="D379" s="41" t="s">
        <v>156</v>
      </c>
      <c r="E379" s="41" t="s">
        <v>169</v>
      </c>
      <c r="F379" s="41" t="s">
        <v>158</v>
      </c>
    </row>
    <row r="380" spans="1:6" ht="15.75" thickBot="1" x14ac:dyDescent="0.3">
      <c r="A380" s="39">
        <v>38975</v>
      </c>
      <c r="B380" s="40">
        <v>14706</v>
      </c>
      <c r="C380" s="41" t="s">
        <v>163</v>
      </c>
      <c r="D380" s="41" t="s">
        <v>156</v>
      </c>
      <c r="E380" s="41" t="s">
        <v>157</v>
      </c>
      <c r="F380" s="41" t="s">
        <v>162</v>
      </c>
    </row>
    <row r="381" spans="1:6" ht="15.75" thickBot="1" x14ac:dyDescent="0.3">
      <c r="A381" s="39">
        <v>38975</v>
      </c>
      <c r="B381" s="40">
        <v>12908</v>
      </c>
      <c r="C381" s="41" t="s">
        <v>163</v>
      </c>
      <c r="D381" s="41" t="s">
        <v>161</v>
      </c>
      <c r="E381" s="41" t="s">
        <v>157</v>
      </c>
      <c r="F381" s="41" t="s">
        <v>158</v>
      </c>
    </row>
    <row r="382" spans="1:6" ht="15.75" thickBot="1" x14ac:dyDescent="0.3">
      <c r="A382" s="39">
        <v>38975</v>
      </c>
      <c r="B382" s="40">
        <v>7811</v>
      </c>
      <c r="C382" s="41" t="s">
        <v>166</v>
      </c>
      <c r="D382" s="41" t="s">
        <v>156</v>
      </c>
      <c r="E382" s="41" t="s">
        <v>167</v>
      </c>
      <c r="F382" s="41" t="s">
        <v>158</v>
      </c>
    </row>
    <row r="383" spans="1:6" ht="15.75" thickBot="1" x14ac:dyDescent="0.3">
      <c r="A383" s="39">
        <v>38975</v>
      </c>
      <c r="B383" s="40">
        <v>13126</v>
      </c>
      <c r="C383" s="41" t="s">
        <v>160</v>
      </c>
      <c r="D383" s="41" t="s">
        <v>161</v>
      </c>
      <c r="E383" s="41" t="s">
        <v>169</v>
      </c>
      <c r="F383" s="41" t="s">
        <v>162</v>
      </c>
    </row>
    <row r="384" spans="1:6" ht="15.75" thickBot="1" x14ac:dyDescent="0.3">
      <c r="A384" s="39">
        <v>38975</v>
      </c>
      <c r="B384" s="40">
        <v>4623</v>
      </c>
      <c r="C384" s="41" t="s">
        <v>166</v>
      </c>
      <c r="D384" s="41" t="s">
        <v>156</v>
      </c>
      <c r="E384" s="41" t="s">
        <v>167</v>
      </c>
      <c r="F384" s="41" t="s">
        <v>162</v>
      </c>
    </row>
    <row r="385" spans="1:6" ht="15.75" thickBot="1" x14ac:dyDescent="0.3">
      <c r="A385" s="39">
        <v>38975</v>
      </c>
      <c r="B385" s="40">
        <v>7989</v>
      </c>
      <c r="C385" s="41" t="s">
        <v>166</v>
      </c>
      <c r="D385" s="41" t="s">
        <v>161</v>
      </c>
      <c r="E385" s="41" t="s">
        <v>167</v>
      </c>
      <c r="F385" s="41" t="s">
        <v>162</v>
      </c>
    </row>
    <row r="386" spans="1:6" ht="15.75" thickBot="1" x14ac:dyDescent="0.3">
      <c r="A386" s="39">
        <v>38975</v>
      </c>
      <c r="B386" s="40">
        <v>4652</v>
      </c>
      <c r="C386" s="41" t="s">
        <v>160</v>
      </c>
      <c r="D386" s="41" t="s">
        <v>156</v>
      </c>
      <c r="E386" s="41" t="s">
        <v>167</v>
      </c>
      <c r="F386" s="41" t="s">
        <v>162</v>
      </c>
    </row>
    <row r="387" spans="1:6" ht="15.75" thickBot="1" x14ac:dyDescent="0.3">
      <c r="A387" s="39">
        <v>38975</v>
      </c>
      <c r="B387" s="40">
        <v>10368</v>
      </c>
      <c r="C387" s="41" t="s">
        <v>163</v>
      </c>
      <c r="D387" s="41" t="s">
        <v>161</v>
      </c>
      <c r="E387" s="41" t="s">
        <v>157</v>
      </c>
      <c r="F387" s="41" t="s">
        <v>158</v>
      </c>
    </row>
    <row r="388" spans="1:6" ht="15.75" thickBot="1" x14ac:dyDescent="0.3">
      <c r="A388" s="39">
        <v>38975</v>
      </c>
      <c r="B388" s="40">
        <v>10071</v>
      </c>
      <c r="C388" s="41" t="s">
        <v>163</v>
      </c>
      <c r="D388" s="41" t="s">
        <v>161</v>
      </c>
      <c r="E388" s="41" t="s">
        <v>157</v>
      </c>
      <c r="F388" s="41" t="s">
        <v>162</v>
      </c>
    </row>
    <row r="389" spans="1:6" ht="15.75" thickBot="1" x14ac:dyDescent="0.3">
      <c r="A389" s="39">
        <v>38975</v>
      </c>
      <c r="B389" s="40">
        <v>9395</v>
      </c>
      <c r="C389" s="41" t="s">
        <v>160</v>
      </c>
      <c r="D389" s="41" t="s">
        <v>156</v>
      </c>
      <c r="E389" s="41" t="s">
        <v>167</v>
      </c>
      <c r="F389" s="41" t="s">
        <v>158</v>
      </c>
    </row>
    <row r="390" spans="1:6" ht="15.75" thickBot="1" x14ac:dyDescent="0.3">
      <c r="A390" s="39">
        <v>38975</v>
      </c>
      <c r="B390" s="40">
        <v>7218</v>
      </c>
      <c r="C390" s="41" t="s">
        <v>163</v>
      </c>
      <c r="D390" s="41" t="s">
        <v>161</v>
      </c>
      <c r="E390" s="41" t="s">
        <v>169</v>
      </c>
      <c r="F390" s="41" t="s">
        <v>162</v>
      </c>
    </row>
    <row r="391" spans="1:6" ht="15.75" thickBot="1" x14ac:dyDescent="0.3">
      <c r="A391" s="39">
        <v>38975</v>
      </c>
      <c r="B391" s="40">
        <v>5000</v>
      </c>
      <c r="C391" s="41" t="s">
        <v>166</v>
      </c>
      <c r="D391" s="41" t="s">
        <v>156</v>
      </c>
      <c r="E391" s="41" t="s">
        <v>169</v>
      </c>
      <c r="F391" s="41" t="s">
        <v>158</v>
      </c>
    </row>
    <row r="392" spans="1:6" ht="15.75" thickBot="1" x14ac:dyDescent="0.3">
      <c r="A392" s="39">
        <v>38975</v>
      </c>
      <c r="B392" s="40">
        <v>14611</v>
      </c>
      <c r="C392" s="41" t="s">
        <v>166</v>
      </c>
      <c r="D392" s="41" t="s">
        <v>156</v>
      </c>
      <c r="E392" s="41" t="s">
        <v>157</v>
      </c>
      <c r="F392" s="41" t="s">
        <v>158</v>
      </c>
    </row>
    <row r="393" spans="1:6" ht="15.75" thickBot="1" x14ac:dyDescent="0.3">
      <c r="A393" s="39">
        <v>38975</v>
      </c>
      <c r="B393" s="40">
        <v>100</v>
      </c>
      <c r="C393" s="41" t="s">
        <v>163</v>
      </c>
      <c r="D393" s="41" t="s">
        <v>156</v>
      </c>
      <c r="E393" s="41" t="s">
        <v>157</v>
      </c>
      <c r="F393" s="41" t="s">
        <v>158</v>
      </c>
    </row>
    <row r="394" spans="1:6" ht="15.75" thickBot="1" x14ac:dyDescent="0.3">
      <c r="A394" s="39">
        <v>38975</v>
      </c>
      <c r="B394" s="40">
        <v>1000</v>
      </c>
      <c r="C394" s="41" t="s">
        <v>163</v>
      </c>
      <c r="D394" s="41" t="s">
        <v>156</v>
      </c>
      <c r="E394" s="41" t="s">
        <v>157</v>
      </c>
      <c r="F394" s="41" t="s">
        <v>158</v>
      </c>
    </row>
    <row r="395" spans="1:6" ht="15.75" thickBot="1" x14ac:dyDescent="0.3">
      <c r="A395" s="39">
        <v>38976</v>
      </c>
      <c r="B395" s="40">
        <v>11406</v>
      </c>
      <c r="C395" s="41" t="s">
        <v>163</v>
      </c>
      <c r="D395" s="41" t="s">
        <v>156</v>
      </c>
      <c r="E395" s="41" t="s">
        <v>167</v>
      </c>
      <c r="F395" s="41" t="s">
        <v>162</v>
      </c>
    </row>
    <row r="396" spans="1:6" ht="15.75" thickBot="1" x14ac:dyDescent="0.3">
      <c r="A396" s="39">
        <v>38976</v>
      </c>
      <c r="B396" s="40">
        <v>8920</v>
      </c>
      <c r="C396" s="41" t="s">
        <v>166</v>
      </c>
      <c r="D396" s="41" t="s">
        <v>161</v>
      </c>
      <c r="E396" s="41" t="s">
        <v>157</v>
      </c>
      <c r="F396" s="41" t="s">
        <v>162</v>
      </c>
    </row>
    <row r="397" spans="1:6" ht="15.75" thickBot="1" x14ac:dyDescent="0.3">
      <c r="A397" s="39">
        <v>38976</v>
      </c>
      <c r="B397" s="40">
        <v>10273</v>
      </c>
      <c r="C397" s="41" t="s">
        <v>163</v>
      </c>
      <c r="D397" s="41" t="s">
        <v>161</v>
      </c>
      <c r="E397" s="41" t="s">
        <v>157</v>
      </c>
      <c r="F397" s="41" t="s">
        <v>162</v>
      </c>
    </row>
    <row r="398" spans="1:6" ht="15.75" thickBot="1" x14ac:dyDescent="0.3">
      <c r="A398" s="39">
        <v>38976</v>
      </c>
      <c r="B398" s="40">
        <v>14473</v>
      </c>
      <c r="C398" s="41" t="s">
        <v>163</v>
      </c>
      <c r="D398" s="41" t="s">
        <v>161</v>
      </c>
      <c r="E398" s="41" t="s">
        <v>157</v>
      </c>
      <c r="F398" s="41" t="s">
        <v>158</v>
      </c>
    </row>
    <row r="399" spans="1:6" ht="15.75" thickBot="1" x14ac:dyDescent="0.3">
      <c r="A399" s="39">
        <v>38976</v>
      </c>
      <c r="B399" s="40">
        <v>9746</v>
      </c>
      <c r="C399" s="41" t="s">
        <v>163</v>
      </c>
      <c r="D399" s="41" t="s">
        <v>161</v>
      </c>
      <c r="E399" s="41" t="s">
        <v>167</v>
      </c>
      <c r="F399" s="41" t="s">
        <v>162</v>
      </c>
    </row>
    <row r="400" spans="1:6" ht="15.75" thickBot="1" x14ac:dyDescent="0.3">
      <c r="A400" s="39">
        <v>38976</v>
      </c>
      <c r="B400" s="40">
        <v>9940</v>
      </c>
      <c r="C400" s="41" t="s">
        <v>160</v>
      </c>
      <c r="D400" s="41" t="s">
        <v>156</v>
      </c>
      <c r="E400" s="41" t="s">
        <v>157</v>
      </c>
      <c r="F400" s="41" t="s">
        <v>162</v>
      </c>
    </row>
    <row r="401" spans="1:6" ht="15.75" thickBot="1" x14ac:dyDescent="0.3">
      <c r="A401" s="39">
        <v>38976</v>
      </c>
      <c r="B401" s="40">
        <v>14189</v>
      </c>
      <c r="C401" s="41" t="s">
        <v>160</v>
      </c>
      <c r="D401" s="41" t="s">
        <v>161</v>
      </c>
      <c r="E401" s="41" t="s">
        <v>157</v>
      </c>
      <c r="F401" s="41" t="s">
        <v>162</v>
      </c>
    </row>
    <row r="402" spans="1:6" ht="15.75" thickBot="1" x14ac:dyDescent="0.3">
      <c r="A402" s="39">
        <v>38976</v>
      </c>
      <c r="B402" s="40">
        <v>9800</v>
      </c>
      <c r="C402" s="41" t="s">
        <v>163</v>
      </c>
      <c r="D402" s="41" t="s">
        <v>161</v>
      </c>
      <c r="E402" s="41" t="s">
        <v>157</v>
      </c>
      <c r="F402" s="41" t="s">
        <v>158</v>
      </c>
    </row>
    <row r="403" spans="1:6" ht="15.75" thickBot="1" x14ac:dyDescent="0.3">
      <c r="A403" s="39">
        <v>38976</v>
      </c>
      <c r="B403" s="40">
        <v>6534</v>
      </c>
      <c r="C403" s="41" t="s">
        <v>160</v>
      </c>
      <c r="D403" s="41" t="s">
        <v>156</v>
      </c>
      <c r="E403" s="41" t="s">
        <v>169</v>
      </c>
      <c r="F403" s="41" t="s">
        <v>162</v>
      </c>
    </row>
    <row r="404" spans="1:6" ht="15.75" thickBot="1" x14ac:dyDescent="0.3">
      <c r="A404" s="39">
        <v>38976</v>
      </c>
      <c r="B404" s="40">
        <v>11984</v>
      </c>
      <c r="C404" s="41" t="s">
        <v>163</v>
      </c>
      <c r="D404" s="41" t="s">
        <v>156</v>
      </c>
      <c r="E404" s="41" t="s">
        <v>157</v>
      </c>
      <c r="F404" s="41" t="s">
        <v>158</v>
      </c>
    </row>
    <row r="405" spans="1:6" ht="15.75" thickBot="1" x14ac:dyDescent="0.3">
      <c r="A405" s="39">
        <v>38977</v>
      </c>
      <c r="B405" s="40">
        <v>5156</v>
      </c>
      <c r="C405" s="41" t="s">
        <v>163</v>
      </c>
      <c r="D405" s="41" t="s">
        <v>156</v>
      </c>
      <c r="E405" s="41" t="s">
        <v>157</v>
      </c>
      <c r="F405" s="41" t="s">
        <v>162</v>
      </c>
    </row>
    <row r="406" spans="1:6" ht="15.75" thickBot="1" x14ac:dyDescent="0.3">
      <c r="A406" s="39">
        <v>38977</v>
      </c>
      <c r="B406" s="40">
        <v>10177</v>
      </c>
      <c r="C406" s="41" t="s">
        <v>160</v>
      </c>
      <c r="D406" s="41" t="s">
        <v>156</v>
      </c>
      <c r="E406" s="41" t="s">
        <v>157</v>
      </c>
      <c r="F406" s="41" t="s">
        <v>162</v>
      </c>
    </row>
    <row r="407" spans="1:6" ht="15.75" thickBot="1" x14ac:dyDescent="0.3">
      <c r="A407" s="39">
        <v>38977</v>
      </c>
      <c r="B407" s="40">
        <v>8133</v>
      </c>
      <c r="C407" s="41" t="s">
        <v>160</v>
      </c>
      <c r="D407" s="41" t="s">
        <v>161</v>
      </c>
      <c r="E407" s="41" t="s">
        <v>157</v>
      </c>
      <c r="F407" s="41" t="s">
        <v>162</v>
      </c>
    </row>
    <row r="408" spans="1:6" ht="15.75" thickBot="1" x14ac:dyDescent="0.3">
      <c r="A408" s="39">
        <v>38977</v>
      </c>
      <c r="B408" s="40">
        <v>10141</v>
      </c>
      <c r="C408" s="41" t="s">
        <v>166</v>
      </c>
      <c r="D408" s="41" t="s">
        <v>156</v>
      </c>
      <c r="E408" s="41" t="s">
        <v>157</v>
      </c>
      <c r="F408" s="41" t="s">
        <v>158</v>
      </c>
    </row>
    <row r="409" spans="1:6" ht="15.75" thickBot="1" x14ac:dyDescent="0.3">
      <c r="A409" s="39">
        <v>38977</v>
      </c>
      <c r="B409" s="40">
        <v>9936</v>
      </c>
      <c r="C409" s="41" t="s">
        <v>163</v>
      </c>
      <c r="D409" s="41" t="s">
        <v>161</v>
      </c>
      <c r="E409" s="41" t="s">
        <v>167</v>
      </c>
      <c r="F409" s="41" t="s">
        <v>158</v>
      </c>
    </row>
    <row r="410" spans="1:6" ht="15.75" thickBot="1" x14ac:dyDescent="0.3">
      <c r="A410" s="39">
        <v>38977</v>
      </c>
      <c r="B410" s="40">
        <v>7037</v>
      </c>
      <c r="C410" s="41" t="s">
        <v>166</v>
      </c>
      <c r="D410" s="41" t="s">
        <v>161</v>
      </c>
      <c r="E410" s="41" t="s">
        <v>169</v>
      </c>
      <c r="F410" s="41" t="s">
        <v>158</v>
      </c>
    </row>
    <row r="411" spans="1:6" ht="15.75" thickBot="1" x14ac:dyDescent="0.3">
      <c r="A411" s="39">
        <v>38977</v>
      </c>
      <c r="B411" s="40">
        <v>4857</v>
      </c>
      <c r="C411" s="41" t="s">
        <v>160</v>
      </c>
      <c r="D411" s="41" t="s">
        <v>156</v>
      </c>
      <c r="E411" s="41" t="s">
        <v>167</v>
      </c>
      <c r="F411" s="41" t="s">
        <v>162</v>
      </c>
    </row>
    <row r="412" spans="1:6" ht="15.75" thickBot="1" x14ac:dyDescent="0.3">
      <c r="A412" s="39">
        <v>38977</v>
      </c>
      <c r="B412" s="40">
        <v>9098</v>
      </c>
      <c r="C412" s="41" t="s">
        <v>166</v>
      </c>
      <c r="D412" s="41" t="s">
        <v>156</v>
      </c>
      <c r="E412" s="41" t="s">
        <v>157</v>
      </c>
      <c r="F412" s="41" t="s">
        <v>162</v>
      </c>
    </row>
    <row r="413" spans="1:6" ht="15.75" thickBot="1" x14ac:dyDescent="0.3">
      <c r="A413" s="39">
        <v>38977</v>
      </c>
      <c r="B413" s="40">
        <v>14587</v>
      </c>
      <c r="C413" s="41" t="s">
        <v>166</v>
      </c>
      <c r="D413" s="41" t="s">
        <v>161</v>
      </c>
      <c r="E413" s="41" t="s">
        <v>167</v>
      </c>
      <c r="F413" s="41" t="s">
        <v>158</v>
      </c>
    </row>
    <row r="414" spans="1:6" ht="15.75" thickBot="1" x14ac:dyDescent="0.3">
      <c r="A414" s="39">
        <v>38977</v>
      </c>
      <c r="B414" s="40">
        <v>8940</v>
      </c>
      <c r="C414" s="41" t="s">
        <v>160</v>
      </c>
      <c r="D414" s="41" t="s">
        <v>161</v>
      </c>
      <c r="E414" s="41" t="s">
        <v>157</v>
      </c>
      <c r="F414" s="41" t="s">
        <v>158</v>
      </c>
    </row>
    <row r="415" spans="1:6" ht="15.75" thickBot="1" x14ac:dyDescent="0.3">
      <c r="A415" s="39">
        <v>38977</v>
      </c>
      <c r="B415" s="40">
        <v>4542</v>
      </c>
      <c r="C415" s="41" t="s">
        <v>160</v>
      </c>
      <c r="D415" s="41" t="s">
        <v>161</v>
      </c>
      <c r="E415" s="41" t="s">
        <v>157</v>
      </c>
      <c r="F415" s="41" t="s">
        <v>162</v>
      </c>
    </row>
    <row r="416" spans="1:6" ht="15.75" thickBot="1" x14ac:dyDescent="0.3">
      <c r="A416" s="39">
        <v>38978</v>
      </c>
      <c r="B416" s="40">
        <v>8882</v>
      </c>
      <c r="C416" s="41" t="s">
        <v>163</v>
      </c>
      <c r="D416" s="41" t="s">
        <v>156</v>
      </c>
      <c r="E416" s="41" t="s">
        <v>167</v>
      </c>
      <c r="F416" s="41" t="s">
        <v>162</v>
      </c>
    </row>
    <row r="417" spans="1:6" ht="15.75" thickBot="1" x14ac:dyDescent="0.3">
      <c r="A417" s="39">
        <v>38978</v>
      </c>
      <c r="B417" s="40">
        <v>13000</v>
      </c>
      <c r="C417" s="41" t="s">
        <v>160</v>
      </c>
      <c r="D417" s="41" t="s">
        <v>156</v>
      </c>
      <c r="E417" s="41" t="s">
        <v>157</v>
      </c>
      <c r="F417" s="41" t="s">
        <v>158</v>
      </c>
    </row>
    <row r="418" spans="1:6" ht="15.75" thickBot="1" x14ac:dyDescent="0.3">
      <c r="A418" s="39">
        <v>38978</v>
      </c>
      <c r="B418" s="40">
        <v>10373</v>
      </c>
      <c r="C418" s="41" t="s">
        <v>160</v>
      </c>
      <c r="D418" s="41" t="s">
        <v>156</v>
      </c>
      <c r="E418" s="41" t="s">
        <v>169</v>
      </c>
      <c r="F418" s="41" t="s">
        <v>158</v>
      </c>
    </row>
    <row r="419" spans="1:6" ht="15.75" thickBot="1" x14ac:dyDescent="0.3">
      <c r="A419" s="39">
        <v>38978</v>
      </c>
      <c r="B419" s="40">
        <v>6808</v>
      </c>
      <c r="C419" s="41" t="s">
        <v>166</v>
      </c>
      <c r="D419" s="41" t="s">
        <v>156</v>
      </c>
      <c r="E419" s="41" t="s">
        <v>169</v>
      </c>
      <c r="F419" s="41" t="s">
        <v>158</v>
      </c>
    </row>
    <row r="420" spans="1:6" ht="15.75" thickBot="1" x14ac:dyDescent="0.3">
      <c r="A420" s="39">
        <v>38978</v>
      </c>
      <c r="B420" s="40">
        <v>100</v>
      </c>
      <c r="C420" s="41" t="s">
        <v>163</v>
      </c>
      <c r="D420" s="41" t="s">
        <v>156</v>
      </c>
      <c r="E420" s="41" t="s">
        <v>169</v>
      </c>
      <c r="F420" s="41" t="s">
        <v>158</v>
      </c>
    </row>
    <row r="421" spans="1:6" ht="15.75" thickBot="1" x14ac:dyDescent="0.3">
      <c r="A421" s="39">
        <v>38978</v>
      </c>
      <c r="B421" s="40">
        <v>13519</v>
      </c>
      <c r="C421" s="41" t="s">
        <v>160</v>
      </c>
      <c r="D421" s="41" t="s">
        <v>156</v>
      </c>
      <c r="E421" s="41" t="s">
        <v>157</v>
      </c>
      <c r="F421" s="41" t="s">
        <v>158</v>
      </c>
    </row>
    <row r="422" spans="1:6" ht="15.75" thickBot="1" x14ac:dyDescent="0.3">
      <c r="A422" s="39">
        <v>38978</v>
      </c>
      <c r="B422" s="40">
        <v>5589</v>
      </c>
      <c r="C422" s="41" t="s">
        <v>166</v>
      </c>
      <c r="D422" s="41" t="s">
        <v>156</v>
      </c>
      <c r="E422" s="41" t="s">
        <v>157</v>
      </c>
      <c r="F422" s="41" t="s">
        <v>162</v>
      </c>
    </row>
    <row r="423" spans="1:6" ht="15.75" thickBot="1" x14ac:dyDescent="0.3">
      <c r="A423" s="39">
        <v>38978</v>
      </c>
      <c r="B423" s="40">
        <v>21000</v>
      </c>
      <c r="C423" s="41" t="s">
        <v>166</v>
      </c>
      <c r="D423" s="41" t="s">
        <v>156</v>
      </c>
      <c r="E423" s="41" t="s">
        <v>167</v>
      </c>
      <c r="F423" s="41" t="s">
        <v>158</v>
      </c>
    </row>
    <row r="424" spans="1:6" ht="15.75" thickBot="1" x14ac:dyDescent="0.3">
      <c r="A424" s="39">
        <v>38978</v>
      </c>
      <c r="B424" s="40">
        <v>4000</v>
      </c>
      <c r="C424" s="41" t="s">
        <v>163</v>
      </c>
      <c r="D424" s="41" t="s">
        <v>156</v>
      </c>
      <c r="E424" s="41" t="s">
        <v>157</v>
      </c>
      <c r="F424" s="41" t="s">
        <v>158</v>
      </c>
    </row>
    <row r="425" spans="1:6" ht="15.75" thickBot="1" x14ac:dyDescent="0.3">
      <c r="A425" s="39">
        <v>38978</v>
      </c>
      <c r="B425" s="40">
        <v>10103</v>
      </c>
      <c r="C425" s="41" t="s">
        <v>166</v>
      </c>
      <c r="D425" s="41" t="s">
        <v>161</v>
      </c>
      <c r="E425" s="41" t="s">
        <v>169</v>
      </c>
      <c r="F425" s="41" t="s">
        <v>158</v>
      </c>
    </row>
    <row r="426" spans="1:6" ht="15.75" thickBot="1" x14ac:dyDescent="0.3">
      <c r="A426" s="39">
        <v>38978</v>
      </c>
      <c r="B426" s="40">
        <v>10365</v>
      </c>
      <c r="C426" s="41" t="s">
        <v>166</v>
      </c>
      <c r="D426" s="41" t="s">
        <v>161</v>
      </c>
      <c r="E426" s="41" t="s">
        <v>157</v>
      </c>
      <c r="F426" s="41" t="s">
        <v>158</v>
      </c>
    </row>
    <row r="427" spans="1:6" ht="15.75" thickBot="1" x14ac:dyDescent="0.3">
      <c r="A427" s="39">
        <v>38978</v>
      </c>
      <c r="B427" s="40">
        <v>5000</v>
      </c>
      <c r="C427" s="41" t="s">
        <v>160</v>
      </c>
      <c r="D427" s="41" t="s">
        <v>161</v>
      </c>
      <c r="E427" s="41" t="s">
        <v>167</v>
      </c>
      <c r="F427" s="41" t="s">
        <v>158</v>
      </c>
    </row>
    <row r="428" spans="1:6" ht="15.75" thickBot="1" x14ac:dyDescent="0.3">
      <c r="A428" s="39">
        <v>38978</v>
      </c>
      <c r="B428" s="40">
        <v>4000</v>
      </c>
      <c r="C428" s="41" t="s">
        <v>163</v>
      </c>
      <c r="D428" s="41" t="s">
        <v>156</v>
      </c>
      <c r="E428" s="41" t="s">
        <v>167</v>
      </c>
      <c r="F428" s="41" t="s">
        <v>158</v>
      </c>
    </row>
    <row r="429" spans="1:6" ht="15.75" thickBot="1" x14ac:dyDescent="0.3">
      <c r="A429" s="39">
        <v>38978</v>
      </c>
      <c r="B429" s="40">
        <v>4000</v>
      </c>
      <c r="C429" s="41" t="s">
        <v>163</v>
      </c>
      <c r="D429" s="41" t="s">
        <v>161</v>
      </c>
      <c r="E429" s="41" t="s">
        <v>167</v>
      </c>
      <c r="F429" s="41" t="s">
        <v>158</v>
      </c>
    </row>
    <row r="430" spans="1:6" ht="15.75" thickBot="1" x14ac:dyDescent="0.3">
      <c r="A430" s="39">
        <v>38978</v>
      </c>
      <c r="B430" s="40">
        <v>200</v>
      </c>
      <c r="C430" s="41" t="s">
        <v>163</v>
      </c>
      <c r="D430" s="41" t="s">
        <v>156</v>
      </c>
      <c r="E430" s="41" t="s">
        <v>157</v>
      </c>
      <c r="F430" s="41" t="s">
        <v>158</v>
      </c>
    </row>
    <row r="431" spans="1:6" ht="15.75" thickBot="1" x14ac:dyDescent="0.3">
      <c r="A431" s="39">
        <v>38978</v>
      </c>
      <c r="B431" s="40">
        <v>13916</v>
      </c>
      <c r="C431" s="41" t="s">
        <v>160</v>
      </c>
      <c r="D431" s="41" t="s">
        <v>156</v>
      </c>
      <c r="E431" s="41" t="s">
        <v>169</v>
      </c>
      <c r="F431" s="41" t="s">
        <v>162</v>
      </c>
    </row>
    <row r="432" spans="1:6" ht="15.75" thickBot="1" x14ac:dyDescent="0.3">
      <c r="A432" s="39">
        <v>38979</v>
      </c>
      <c r="B432" s="40">
        <v>13130</v>
      </c>
      <c r="C432" s="41" t="s">
        <v>160</v>
      </c>
      <c r="D432" s="41" t="s">
        <v>161</v>
      </c>
      <c r="E432" s="41" t="s">
        <v>169</v>
      </c>
      <c r="F432" s="41" t="s">
        <v>162</v>
      </c>
    </row>
    <row r="433" spans="1:6" ht="15.75" thickBot="1" x14ac:dyDescent="0.3">
      <c r="A433" s="39">
        <v>38979</v>
      </c>
      <c r="B433" s="40">
        <v>3000</v>
      </c>
      <c r="C433" s="41" t="s">
        <v>163</v>
      </c>
      <c r="D433" s="41" t="s">
        <v>156</v>
      </c>
      <c r="E433" s="41" t="s">
        <v>157</v>
      </c>
      <c r="F433" s="41" t="s">
        <v>158</v>
      </c>
    </row>
    <row r="434" spans="1:6" ht="15.75" thickBot="1" x14ac:dyDescent="0.3">
      <c r="A434" s="39">
        <v>38979</v>
      </c>
      <c r="B434" s="40">
        <v>13636</v>
      </c>
      <c r="C434" s="41" t="s">
        <v>160</v>
      </c>
      <c r="D434" s="41" t="s">
        <v>156</v>
      </c>
      <c r="E434" s="41" t="s">
        <v>167</v>
      </c>
      <c r="F434" s="41" t="s">
        <v>158</v>
      </c>
    </row>
    <row r="435" spans="1:6" ht="15.75" thickBot="1" x14ac:dyDescent="0.3">
      <c r="A435" s="39">
        <v>38979</v>
      </c>
      <c r="B435" s="40">
        <v>14750</v>
      </c>
      <c r="C435" s="41" t="s">
        <v>166</v>
      </c>
      <c r="D435" s="41" t="s">
        <v>156</v>
      </c>
      <c r="E435" s="41" t="s">
        <v>167</v>
      </c>
      <c r="F435" s="41" t="s">
        <v>162</v>
      </c>
    </row>
    <row r="436" spans="1:6" ht="15.75" thickBot="1" x14ac:dyDescent="0.3">
      <c r="A436" s="39">
        <v>38979</v>
      </c>
      <c r="B436" s="40">
        <v>5000</v>
      </c>
      <c r="C436" s="41" t="s">
        <v>166</v>
      </c>
      <c r="D436" s="41" t="s">
        <v>156</v>
      </c>
      <c r="E436" s="41" t="s">
        <v>157</v>
      </c>
      <c r="F436" s="41" t="s">
        <v>158</v>
      </c>
    </row>
    <row r="437" spans="1:6" ht="15.75" thickBot="1" x14ac:dyDescent="0.3">
      <c r="A437" s="39">
        <v>38979</v>
      </c>
      <c r="B437" s="40">
        <v>9000</v>
      </c>
      <c r="C437" s="41" t="s">
        <v>155</v>
      </c>
      <c r="D437" s="41" t="s">
        <v>156</v>
      </c>
      <c r="E437" s="41" t="s">
        <v>157</v>
      </c>
      <c r="F437" s="41" t="s">
        <v>158</v>
      </c>
    </row>
    <row r="438" spans="1:6" ht="15.75" thickBot="1" x14ac:dyDescent="0.3">
      <c r="A438" s="39">
        <v>38979</v>
      </c>
      <c r="B438" s="40">
        <v>75000</v>
      </c>
      <c r="C438" s="41" t="s">
        <v>160</v>
      </c>
      <c r="D438" s="41" t="s">
        <v>156</v>
      </c>
      <c r="E438" s="41" t="s">
        <v>167</v>
      </c>
      <c r="F438" s="41" t="s">
        <v>158</v>
      </c>
    </row>
    <row r="439" spans="1:6" ht="15.75" thickBot="1" x14ac:dyDescent="0.3">
      <c r="A439" s="39">
        <v>38979</v>
      </c>
      <c r="B439" s="40">
        <v>500</v>
      </c>
      <c r="C439" s="41" t="s">
        <v>166</v>
      </c>
      <c r="D439" s="41" t="s">
        <v>156</v>
      </c>
      <c r="E439" s="41" t="s">
        <v>169</v>
      </c>
      <c r="F439" s="41" t="s">
        <v>162</v>
      </c>
    </row>
    <row r="440" spans="1:6" ht="15.75" thickBot="1" x14ac:dyDescent="0.3">
      <c r="A440" s="39">
        <v>38979</v>
      </c>
      <c r="B440" s="40">
        <v>6394</v>
      </c>
      <c r="C440" s="41" t="s">
        <v>166</v>
      </c>
      <c r="D440" s="41" t="s">
        <v>156</v>
      </c>
      <c r="E440" s="41" t="s">
        <v>157</v>
      </c>
      <c r="F440" s="41" t="s">
        <v>162</v>
      </c>
    </row>
    <row r="441" spans="1:6" ht="15.75" thickBot="1" x14ac:dyDescent="0.3">
      <c r="A441" s="39">
        <v>38979</v>
      </c>
      <c r="B441" s="40">
        <v>13500</v>
      </c>
      <c r="C441" s="41" t="s">
        <v>160</v>
      </c>
      <c r="D441" s="41" t="s">
        <v>156</v>
      </c>
      <c r="E441" s="41" t="s">
        <v>167</v>
      </c>
      <c r="F441" s="41" t="s">
        <v>158</v>
      </c>
    </row>
    <row r="442" spans="1:6" ht="15.75" thickBot="1" x14ac:dyDescent="0.3">
      <c r="A442" s="39">
        <v>38979</v>
      </c>
      <c r="B442" s="40">
        <v>240</v>
      </c>
      <c r="C442" s="41" t="s">
        <v>163</v>
      </c>
      <c r="D442" s="41" t="s">
        <v>156</v>
      </c>
      <c r="E442" s="41" t="s">
        <v>157</v>
      </c>
      <c r="F442" s="41" t="s">
        <v>158</v>
      </c>
    </row>
    <row r="443" spans="1:6" ht="15.75" thickBot="1" x14ac:dyDescent="0.3">
      <c r="A443" s="39">
        <v>38979</v>
      </c>
      <c r="B443" s="40">
        <v>2000</v>
      </c>
      <c r="C443" s="41" t="s">
        <v>160</v>
      </c>
      <c r="D443" s="41" t="s">
        <v>161</v>
      </c>
      <c r="E443" s="41" t="s">
        <v>157</v>
      </c>
      <c r="F443" s="41" t="s">
        <v>158</v>
      </c>
    </row>
    <row r="444" spans="1:6" ht="15.75" thickBot="1" x14ac:dyDescent="0.3">
      <c r="A444" s="39">
        <v>38979</v>
      </c>
      <c r="B444" s="40">
        <v>5000</v>
      </c>
      <c r="C444" s="41" t="s">
        <v>163</v>
      </c>
      <c r="D444" s="41" t="s">
        <v>156</v>
      </c>
      <c r="E444" s="41" t="s">
        <v>167</v>
      </c>
      <c r="F444" s="41" t="s">
        <v>158</v>
      </c>
    </row>
    <row r="445" spans="1:6" ht="15.75" thickBot="1" x14ac:dyDescent="0.3">
      <c r="A445" s="39">
        <v>38979</v>
      </c>
      <c r="B445" s="40">
        <v>13000</v>
      </c>
      <c r="C445" s="41" t="s">
        <v>160</v>
      </c>
      <c r="D445" s="41" t="s">
        <v>156</v>
      </c>
      <c r="E445" s="41" t="s">
        <v>157</v>
      </c>
      <c r="F445" s="41" t="s">
        <v>158</v>
      </c>
    </row>
    <row r="446" spans="1:6" ht="15.75" thickBot="1" x14ac:dyDescent="0.3">
      <c r="A446" s="39">
        <v>38979</v>
      </c>
      <c r="B446" s="40">
        <v>6000</v>
      </c>
      <c r="C446" s="41" t="s">
        <v>166</v>
      </c>
      <c r="D446" s="41" t="s">
        <v>156</v>
      </c>
      <c r="E446" s="41" t="s">
        <v>157</v>
      </c>
      <c r="F446" s="41" t="s">
        <v>158</v>
      </c>
    </row>
    <row r="447" spans="1:6" ht="15.75" thickBot="1" x14ac:dyDescent="0.3">
      <c r="A447" s="39">
        <v>38979</v>
      </c>
      <c r="B447" s="40">
        <v>40599</v>
      </c>
      <c r="C447" s="41" t="s">
        <v>166</v>
      </c>
      <c r="D447" s="41" t="s">
        <v>156</v>
      </c>
      <c r="E447" s="41" t="s">
        <v>157</v>
      </c>
      <c r="F447" s="41" t="s">
        <v>158</v>
      </c>
    </row>
    <row r="448" spans="1:6" ht="15.75" thickBot="1" x14ac:dyDescent="0.3">
      <c r="A448" s="39">
        <v>38979</v>
      </c>
      <c r="B448" s="40">
        <v>12134</v>
      </c>
      <c r="C448" s="41" t="s">
        <v>163</v>
      </c>
      <c r="D448" s="41" t="s">
        <v>161</v>
      </c>
      <c r="E448" s="41" t="s">
        <v>167</v>
      </c>
      <c r="F448" s="41" t="s">
        <v>158</v>
      </c>
    </row>
    <row r="449" spans="1:6" ht="15.75" thickBot="1" x14ac:dyDescent="0.3">
      <c r="A449" s="39">
        <v>38979</v>
      </c>
      <c r="B449" s="40">
        <v>344</v>
      </c>
      <c r="C449" s="41" t="s">
        <v>163</v>
      </c>
      <c r="D449" s="41" t="s">
        <v>156</v>
      </c>
      <c r="E449" s="41" t="s">
        <v>169</v>
      </c>
      <c r="F449" s="41" t="s">
        <v>158</v>
      </c>
    </row>
    <row r="450" spans="1:6" ht="15.75" thickBot="1" x14ac:dyDescent="0.3">
      <c r="A450" s="39">
        <v>38979</v>
      </c>
      <c r="B450" s="40">
        <v>7000</v>
      </c>
      <c r="C450" s="41" t="s">
        <v>155</v>
      </c>
      <c r="D450" s="41" t="s">
        <v>156</v>
      </c>
      <c r="E450" s="41" t="s">
        <v>167</v>
      </c>
      <c r="F450" s="41" t="s">
        <v>162</v>
      </c>
    </row>
    <row r="451" spans="1:6" ht="15.75" thickBot="1" x14ac:dyDescent="0.3">
      <c r="A451" s="39">
        <v>38979</v>
      </c>
      <c r="B451" s="40">
        <v>4000</v>
      </c>
      <c r="C451" s="41" t="s">
        <v>166</v>
      </c>
      <c r="D451" s="41" t="s">
        <v>156</v>
      </c>
      <c r="E451" s="41" t="s">
        <v>167</v>
      </c>
      <c r="F451" s="41" t="s">
        <v>158</v>
      </c>
    </row>
    <row r="452" spans="1:6" ht="15.75" thickBot="1" x14ac:dyDescent="0.3">
      <c r="A452" s="39">
        <v>38979</v>
      </c>
      <c r="B452" s="40">
        <v>11498</v>
      </c>
      <c r="C452" s="41" t="s">
        <v>160</v>
      </c>
      <c r="D452" s="41" t="s">
        <v>161</v>
      </c>
      <c r="E452" s="41" t="s">
        <v>167</v>
      </c>
      <c r="F452" s="41" t="s">
        <v>162</v>
      </c>
    </row>
    <row r="453" spans="1:6" ht="15.75" thickBot="1" x14ac:dyDescent="0.3">
      <c r="A453" s="39">
        <v>38979</v>
      </c>
      <c r="B453" s="40">
        <v>14851</v>
      </c>
      <c r="C453" s="41" t="s">
        <v>166</v>
      </c>
      <c r="D453" s="41" t="s">
        <v>161</v>
      </c>
      <c r="E453" s="41" t="s">
        <v>157</v>
      </c>
      <c r="F453" s="41" t="s">
        <v>158</v>
      </c>
    </row>
    <row r="454" spans="1:6" ht="15.75" thickBot="1" x14ac:dyDescent="0.3">
      <c r="A454" s="39">
        <v>38979</v>
      </c>
      <c r="B454" s="40">
        <v>7258</v>
      </c>
      <c r="C454" s="41" t="s">
        <v>166</v>
      </c>
      <c r="D454" s="41" t="s">
        <v>156</v>
      </c>
      <c r="E454" s="41" t="s">
        <v>157</v>
      </c>
      <c r="F454" s="41" t="s">
        <v>158</v>
      </c>
    </row>
    <row r="455" spans="1:6" ht="15.75" thickBot="1" x14ac:dyDescent="0.3">
      <c r="A455" s="39">
        <v>38979</v>
      </c>
      <c r="B455" s="40">
        <v>12724</v>
      </c>
      <c r="C455" s="41" t="s">
        <v>160</v>
      </c>
      <c r="D455" s="41" t="s">
        <v>156</v>
      </c>
      <c r="E455" s="41" t="s">
        <v>169</v>
      </c>
      <c r="F455" s="41" t="s">
        <v>162</v>
      </c>
    </row>
    <row r="456" spans="1:6" ht="15.75" thickBot="1" x14ac:dyDescent="0.3">
      <c r="A456" s="39">
        <v>38979</v>
      </c>
      <c r="B456" s="40">
        <v>15703</v>
      </c>
      <c r="C456" s="41" t="s">
        <v>160</v>
      </c>
      <c r="D456" s="41" t="s">
        <v>156</v>
      </c>
      <c r="E456" s="41" t="s">
        <v>157</v>
      </c>
      <c r="F456" s="41" t="s">
        <v>158</v>
      </c>
    </row>
    <row r="457" spans="1:6" ht="15.75" thickBot="1" x14ac:dyDescent="0.3">
      <c r="A457" s="39">
        <v>38979</v>
      </c>
      <c r="B457" s="40">
        <v>4000</v>
      </c>
      <c r="C457" s="41" t="s">
        <v>163</v>
      </c>
      <c r="D457" s="41" t="s">
        <v>156</v>
      </c>
      <c r="E457" s="41" t="s">
        <v>169</v>
      </c>
      <c r="F457" s="41" t="s">
        <v>158</v>
      </c>
    </row>
    <row r="458" spans="1:6" ht="15.75" thickBot="1" x14ac:dyDescent="0.3">
      <c r="A458" s="39">
        <v>38979</v>
      </c>
      <c r="B458" s="40">
        <v>13903</v>
      </c>
      <c r="C458" s="41" t="s">
        <v>160</v>
      </c>
      <c r="D458" s="41" t="s">
        <v>156</v>
      </c>
      <c r="E458" s="41" t="s">
        <v>157</v>
      </c>
      <c r="F458" s="41" t="s">
        <v>162</v>
      </c>
    </row>
    <row r="459" spans="1:6" ht="15.75" thickBot="1" x14ac:dyDescent="0.3">
      <c r="A459" s="39">
        <v>38979</v>
      </c>
      <c r="B459" s="40">
        <v>8545</v>
      </c>
      <c r="C459" s="41" t="s">
        <v>163</v>
      </c>
      <c r="D459" s="41" t="s">
        <v>161</v>
      </c>
      <c r="E459" s="41" t="s">
        <v>167</v>
      </c>
      <c r="F459" s="41" t="s">
        <v>158</v>
      </c>
    </row>
    <row r="460" spans="1:6" ht="15.75" thickBot="1" x14ac:dyDescent="0.3">
      <c r="A460" s="39">
        <v>38979</v>
      </c>
      <c r="B460" s="40">
        <v>4779</v>
      </c>
      <c r="C460" s="41" t="s">
        <v>163</v>
      </c>
      <c r="D460" s="41" t="s">
        <v>161</v>
      </c>
      <c r="E460" s="41" t="s">
        <v>169</v>
      </c>
      <c r="F460" s="41" t="s">
        <v>158</v>
      </c>
    </row>
    <row r="461" spans="1:6" ht="15.75" thickBot="1" x14ac:dyDescent="0.3">
      <c r="A461" s="39">
        <v>38979</v>
      </c>
      <c r="B461" s="40">
        <v>240</v>
      </c>
      <c r="C461" s="41" t="s">
        <v>163</v>
      </c>
      <c r="D461" s="41" t="s">
        <v>156</v>
      </c>
      <c r="E461" s="41" t="s">
        <v>157</v>
      </c>
      <c r="F461" s="41" t="s">
        <v>158</v>
      </c>
    </row>
    <row r="462" spans="1:6" ht="15.75" thickBot="1" x14ac:dyDescent="0.3">
      <c r="A462" s="39">
        <v>38979</v>
      </c>
      <c r="B462" s="40">
        <v>14169</v>
      </c>
      <c r="C462" s="41" t="s">
        <v>160</v>
      </c>
      <c r="D462" s="41" t="s">
        <v>156</v>
      </c>
      <c r="E462" s="41" t="s">
        <v>169</v>
      </c>
      <c r="F462" s="41" t="s">
        <v>162</v>
      </c>
    </row>
    <row r="463" spans="1:6" ht="15.75" thickBot="1" x14ac:dyDescent="0.3">
      <c r="A463" s="39">
        <v>38979</v>
      </c>
      <c r="B463" s="40">
        <v>13519</v>
      </c>
      <c r="C463" s="41" t="s">
        <v>160</v>
      </c>
      <c r="D463" s="41" t="s">
        <v>156</v>
      </c>
      <c r="E463" s="41" t="s">
        <v>157</v>
      </c>
      <c r="F463" s="41" t="s">
        <v>158</v>
      </c>
    </row>
    <row r="464" spans="1:6" ht="15.75" thickBot="1" x14ac:dyDescent="0.3">
      <c r="A464" s="39">
        <v>38979</v>
      </c>
      <c r="B464" s="40">
        <v>4810</v>
      </c>
      <c r="C464" s="41" t="s">
        <v>163</v>
      </c>
      <c r="D464" s="41" t="s">
        <v>161</v>
      </c>
      <c r="E464" s="41" t="s">
        <v>157</v>
      </c>
      <c r="F464" s="41" t="s">
        <v>158</v>
      </c>
    </row>
    <row r="465" spans="1:6" ht="15.75" thickBot="1" x14ac:dyDescent="0.3">
      <c r="A465" s="39">
        <v>38979</v>
      </c>
      <c r="B465" s="40">
        <v>12000</v>
      </c>
      <c r="C465" s="41" t="s">
        <v>160</v>
      </c>
      <c r="D465" s="41" t="s">
        <v>156</v>
      </c>
      <c r="E465" s="41" t="s">
        <v>167</v>
      </c>
      <c r="F465" s="41" t="s">
        <v>158</v>
      </c>
    </row>
    <row r="466" spans="1:6" ht="15.75" thickBot="1" x14ac:dyDescent="0.3">
      <c r="A466" s="39">
        <v>38979</v>
      </c>
      <c r="B466" s="40">
        <v>4000</v>
      </c>
      <c r="C466" s="41" t="s">
        <v>163</v>
      </c>
      <c r="D466" s="41" t="s">
        <v>156</v>
      </c>
      <c r="E466" s="41" t="s">
        <v>167</v>
      </c>
      <c r="F466" s="41" t="s">
        <v>162</v>
      </c>
    </row>
    <row r="467" spans="1:6" ht="15.75" thickBot="1" x14ac:dyDescent="0.3">
      <c r="A467" s="39">
        <v>38979</v>
      </c>
      <c r="B467" s="40">
        <v>2749</v>
      </c>
      <c r="C467" s="41" t="s">
        <v>163</v>
      </c>
      <c r="D467" s="41" t="s">
        <v>156</v>
      </c>
      <c r="E467" s="41" t="s">
        <v>157</v>
      </c>
      <c r="F467" s="41" t="s">
        <v>158</v>
      </c>
    </row>
    <row r="468" spans="1:6" ht="15.75" thickBot="1" x14ac:dyDescent="0.3">
      <c r="A468" s="39">
        <v>38979</v>
      </c>
      <c r="B468" s="40">
        <v>4635</v>
      </c>
      <c r="C468" s="41" t="s">
        <v>163</v>
      </c>
      <c r="D468" s="41" t="s">
        <v>156</v>
      </c>
      <c r="E468" s="41" t="s">
        <v>157</v>
      </c>
      <c r="F468" s="41" t="s">
        <v>158</v>
      </c>
    </row>
    <row r="469" spans="1:6" ht="15.75" thickBot="1" x14ac:dyDescent="0.3">
      <c r="A469" s="39">
        <v>38979</v>
      </c>
      <c r="B469" s="40">
        <v>4000</v>
      </c>
      <c r="C469" s="41" t="s">
        <v>163</v>
      </c>
      <c r="D469" s="41" t="s">
        <v>156</v>
      </c>
      <c r="E469" s="41" t="s">
        <v>157</v>
      </c>
      <c r="F469" s="41" t="s">
        <v>158</v>
      </c>
    </row>
    <row r="470" spans="1:6" ht="15.75" thickBot="1" x14ac:dyDescent="0.3">
      <c r="A470" s="39">
        <v>38979</v>
      </c>
      <c r="B470" s="40">
        <v>8000</v>
      </c>
      <c r="C470" s="41" t="s">
        <v>166</v>
      </c>
      <c r="D470" s="41" t="s">
        <v>161</v>
      </c>
      <c r="E470" s="41" t="s">
        <v>157</v>
      </c>
      <c r="F470" s="41" t="s">
        <v>158</v>
      </c>
    </row>
    <row r="471" spans="1:6" ht="15.75" thickBot="1" x14ac:dyDescent="0.3">
      <c r="A471" s="39">
        <v>38979</v>
      </c>
      <c r="B471" s="40">
        <v>10768</v>
      </c>
      <c r="C471" s="41" t="s">
        <v>160</v>
      </c>
      <c r="D471" s="41" t="s">
        <v>156</v>
      </c>
      <c r="E471" s="41" t="s">
        <v>157</v>
      </c>
      <c r="F471" s="41" t="s">
        <v>162</v>
      </c>
    </row>
    <row r="472" spans="1:6" ht="15.75" thickBot="1" x14ac:dyDescent="0.3">
      <c r="A472" s="39">
        <v>38979</v>
      </c>
      <c r="B472" s="40">
        <v>7884</v>
      </c>
      <c r="C472" s="41" t="s">
        <v>160</v>
      </c>
      <c r="D472" s="41" t="s">
        <v>161</v>
      </c>
      <c r="E472" s="41" t="s">
        <v>167</v>
      </c>
      <c r="F472" s="41" t="s">
        <v>158</v>
      </c>
    </row>
    <row r="473" spans="1:6" ht="15.75" thickBot="1" x14ac:dyDescent="0.3">
      <c r="A473" s="39">
        <v>38979</v>
      </c>
      <c r="B473" s="40">
        <v>12903</v>
      </c>
      <c r="C473" s="41" t="s">
        <v>160</v>
      </c>
      <c r="D473" s="41" t="s">
        <v>161</v>
      </c>
      <c r="E473" s="41" t="s">
        <v>167</v>
      </c>
      <c r="F473" s="41" t="s">
        <v>158</v>
      </c>
    </row>
    <row r="474" spans="1:6" ht="15.75" thickBot="1" x14ac:dyDescent="0.3">
      <c r="A474" s="39">
        <v>38979</v>
      </c>
      <c r="B474" s="40">
        <v>5000</v>
      </c>
      <c r="C474" s="41" t="s">
        <v>166</v>
      </c>
      <c r="D474" s="41" t="s">
        <v>156</v>
      </c>
      <c r="E474" s="41" t="s">
        <v>167</v>
      </c>
      <c r="F474" s="41" t="s">
        <v>162</v>
      </c>
    </row>
    <row r="475" spans="1:6" ht="15.75" thickBot="1" x14ac:dyDescent="0.3">
      <c r="A475" s="39">
        <v>38979</v>
      </c>
      <c r="B475" s="40">
        <v>4000</v>
      </c>
      <c r="C475" s="41" t="s">
        <v>163</v>
      </c>
      <c r="D475" s="41" t="s">
        <v>156</v>
      </c>
      <c r="E475" s="41" t="s">
        <v>167</v>
      </c>
      <c r="F475" s="41" t="s">
        <v>158</v>
      </c>
    </row>
    <row r="476" spans="1:6" ht="15.75" thickBot="1" x14ac:dyDescent="0.3">
      <c r="A476" s="39">
        <v>38979</v>
      </c>
      <c r="B476" s="40">
        <v>4000</v>
      </c>
      <c r="C476" s="41" t="s">
        <v>163</v>
      </c>
      <c r="D476" s="41" t="s">
        <v>156</v>
      </c>
      <c r="E476" s="41" t="s">
        <v>157</v>
      </c>
      <c r="F476" s="41" t="s">
        <v>162</v>
      </c>
    </row>
    <row r="477" spans="1:6" ht="15.75" thickBot="1" x14ac:dyDescent="0.3">
      <c r="A477" s="39">
        <v>38979</v>
      </c>
      <c r="B477" s="40">
        <v>500</v>
      </c>
      <c r="C477" s="41" t="s">
        <v>166</v>
      </c>
      <c r="D477" s="41" t="s">
        <v>156</v>
      </c>
      <c r="E477" s="41" t="s">
        <v>169</v>
      </c>
      <c r="F477" s="41" t="s">
        <v>158</v>
      </c>
    </row>
    <row r="478" spans="1:6" ht="15.75" thickBot="1" x14ac:dyDescent="0.3">
      <c r="A478" s="39">
        <v>38979</v>
      </c>
      <c r="B478" s="40">
        <v>6000</v>
      </c>
      <c r="C478" s="41" t="s">
        <v>166</v>
      </c>
      <c r="D478" s="41" t="s">
        <v>156</v>
      </c>
      <c r="E478" s="41" t="s">
        <v>157</v>
      </c>
      <c r="F478" s="41" t="s">
        <v>158</v>
      </c>
    </row>
    <row r="479" spans="1:6" ht="15.75" thickBot="1" x14ac:dyDescent="0.3">
      <c r="A479" s="39">
        <v>38979</v>
      </c>
      <c r="B479" s="40">
        <v>10147</v>
      </c>
      <c r="C479" s="41" t="s">
        <v>166</v>
      </c>
      <c r="D479" s="41" t="s">
        <v>156</v>
      </c>
      <c r="E479" s="41" t="s">
        <v>157</v>
      </c>
      <c r="F479" s="41" t="s">
        <v>158</v>
      </c>
    </row>
    <row r="480" spans="1:6" ht="15.75" thickBot="1" x14ac:dyDescent="0.3">
      <c r="A480" s="39">
        <v>38979</v>
      </c>
      <c r="B480" s="40">
        <v>500</v>
      </c>
      <c r="C480" s="41" t="s">
        <v>166</v>
      </c>
      <c r="D480" s="41" t="s">
        <v>156</v>
      </c>
      <c r="E480" s="41" t="s">
        <v>169</v>
      </c>
      <c r="F480" s="41" t="s">
        <v>158</v>
      </c>
    </row>
    <row r="481" spans="1:6" ht="15.75" thickBot="1" x14ac:dyDescent="0.3">
      <c r="A481" s="39">
        <v>38979</v>
      </c>
      <c r="B481" s="40">
        <v>3000</v>
      </c>
      <c r="C481" s="41" t="s">
        <v>163</v>
      </c>
      <c r="D481" s="41" t="s">
        <v>156</v>
      </c>
      <c r="E481" s="41" t="s">
        <v>157</v>
      </c>
      <c r="F481" s="41" t="s">
        <v>158</v>
      </c>
    </row>
    <row r="482" spans="1:6" ht="15.75" thickBot="1" x14ac:dyDescent="0.3">
      <c r="A482" s="39">
        <v>38979</v>
      </c>
      <c r="B482" s="40">
        <v>100</v>
      </c>
      <c r="C482" s="41" t="s">
        <v>163</v>
      </c>
      <c r="D482" s="41" t="s">
        <v>156</v>
      </c>
      <c r="E482" s="41" t="s">
        <v>157</v>
      </c>
      <c r="F482" s="41" t="s">
        <v>158</v>
      </c>
    </row>
    <row r="483" spans="1:6" ht="15.75" thickBot="1" x14ac:dyDescent="0.3">
      <c r="A483" s="39">
        <v>38979</v>
      </c>
      <c r="B483" s="40">
        <v>2878</v>
      </c>
      <c r="C483" s="41" t="s">
        <v>166</v>
      </c>
      <c r="D483" s="41" t="s">
        <v>156</v>
      </c>
      <c r="E483" s="41" t="s">
        <v>167</v>
      </c>
      <c r="F483" s="41" t="s">
        <v>158</v>
      </c>
    </row>
    <row r="484" spans="1:6" ht="15.75" thickBot="1" x14ac:dyDescent="0.3">
      <c r="A484" s="39">
        <v>38979</v>
      </c>
      <c r="B484" s="40">
        <v>3075</v>
      </c>
      <c r="C484" s="41" t="s">
        <v>163</v>
      </c>
      <c r="D484" s="41" t="s">
        <v>156</v>
      </c>
      <c r="E484" s="41" t="s">
        <v>169</v>
      </c>
      <c r="F484" s="41" t="s">
        <v>162</v>
      </c>
    </row>
    <row r="485" spans="1:6" ht="15.75" thickBot="1" x14ac:dyDescent="0.3">
      <c r="A485" s="39">
        <v>38980</v>
      </c>
      <c r="B485" s="40">
        <v>6762</v>
      </c>
      <c r="C485" s="41" t="s">
        <v>166</v>
      </c>
      <c r="D485" s="41" t="s">
        <v>156</v>
      </c>
      <c r="E485" s="41" t="s">
        <v>157</v>
      </c>
      <c r="F485" s="41" t="s">
        <v>158</v>
      </c>
    </row>
    <row r="486" spans="1:6" ht="15.75" thickBot="1" x14ac:dyDescent="0.3">
      <c r="A486" s="39">
        <v>38980</v>
      </c>
      <c r="B486" s="40">
        <v>5664</v>
      </c>
      <c r="C486" s="41" t="s">
        <v>166</v>
      </c>
      <c r="D486" s="41" t="s">
        <v>156</v>
      </c>
      <c r="E486" s="41" t="s">
        <v>167</v>
      </c>
      <c r="F486" s="41" t="s">
        <v>162</v>
      </c>
    </row>
    <row r="487" spans="1:6" ht="15.75" thickBot="1" x14ac:dyDescent="0.3">
      <c r="A487" s="39">
        <v>38980</v>
      </c>
      <c r="B487" s="40">
        <v>133</v>
      </c>
      <c r="C487" s="41" t="s">
        <v>163</v>
      </c>
      <c r="D487" s="41" t="s">
        <v>156</v>
      </c>
      <c r="E487" s="41" t="s">
        <v>169</v>
      </c>
      <c r="F487" s="41" t="s">
        <v>158</v>
      </c>
    </row>
    <row r="488" spans="1:6" ht="15.75" thickBot="1" x14ac:dyDescent="0.3">
      <c r="A488" s="39">
        <v>38980</v>
      </c>
      <c r="B488" s="40">
        <v>7970</v>
      </c>
      <c r="C488" s="41" t="s">
        <v>166</v>
      </c>
      <c r="D488" s="41" t="s">
        <v>161</v>
      </c>
      <c r="E488" s="41" t="s">
        <v>157</v>
      </c>
      <c r="F488" s="41" t="s">
        <v>158</v>
      </c>
    </row>
    <row r="489" spans="1:6" ht="15.75" thickBot="1" x14ac:dyDescent="0.3">
      <c r="A489" s="39">
        <v>38980</v>
      </c>
      <c r="B489" s="40">
        <v>3807</v>
      </c>
      <c r="C489" s="41" t="s">
        <v>163</v>
      </c>
      <c r="D489" s="41" t="s">
        <v>156</v>
      </c>
      <c r="E489" s="41" t="s">
        <v>169</v>
      </c>
      <c r="F489" s="41" t="s">
        <v>158</v>
      </c>
    </row>
    <row r="490" spans="1:6" ht="15.75" thickBot="1" x14ac:dyDescent="0.3">
      <c r="A490" s="39">
        <v>38980</v>
      </c>
      <c r="B490" s="40">
        <v>7013</v>
      </c>
      <c r="C490" s="41" t="s">
        <v>166</v>
      </c>
      <c r="D490" s="41" t="s">
        <v>156</v>
      </c>
      <c r="E490" s="41" t="s">
        <v>167</v>
      </c>
      <c r="F490" s="41" t="s">
        <v>158</v>
      </c>
    </row>
    <row r="491" spans="1:6" ht="15.75" thickBot="1" x14ac:dyDescent="0.3">
      <c r="A491" s="39">
        <v>38980</v>
      </c>
      <c r="B491" s="40">
        <v>10976</v>
      </c>
      <c r="C491" s="41" t="s">
        <v>163</v>
      </c>
      <c r="D491" s="41" t="s">
        <v>156</v>
      </c>
      <c r="E491" s="41" t="s">
        <v>169</v>
      </c>
      <c r="F491" s="41" t="s">
        <v>162</v>
      </c>
    </row>
    <row r="492" spans="1:6" ht="15.75" thickBot="1" x14ac:dyDescent="0.3">
      <c r="A492" s="39">
        <v>38980</v>
      </c>
      <c r="B492" s="40">
        <v>7342</v>
      </c>
      <c r="C492" s="41" t="s">
        <v>163</v>
      </c>
      <c r="D492" s="41" t="s">
        <v>156</v>
      </c>
      <c r="E492" s="41" t="s">
        <v>157</v>
      </c>
      <c r="F492" s="41" t="s">
        <v>158</v>
      </c>
    </row>
    <row r="493" spans="1:6" ht="15.75" thickBot="1" x14ac:dyDescent="0.3">
      <c r="A493" s="39">
        <v>38980</v>
      </c>
      <c r="B493" s="40">
        <v>12455</v>
      </c>
      <c r="C493" s="41" t="s">
        <v>155</v>
      </c>
      <c r="D493" s="41" t="s">
        <v>161</v>
      </c>
      <c r="E493" s="41" t="s">
        <v>167</v>
      </c>
      <c r="F493" s="41" t="s">
        <v>158</v>
      </c>
    </row>
    <row r="494" spans="1:6" ht="15.75" thickBot="1" x14ac:dyDescent="0.3">
      <c r="A494" s="39">
        <v>38980</v>
      </c>
      <c r="B494" s="40">
        <v>8633</v>
      </c>
      <c r="C494" s="41" t="s">
        <v>166</v>
      </c>
      <c r="D494" s="41" t="s">
        <v>161</v>
      </c>
      <c r="E494" s="41" t="s">
        <v>169</v>
      </c>
      <c r="F494" s="41" t="s">
        <v>158</v>
      </c>
    </row>
    <row r="495" spans="1:6" ht="15.75" thickBot="1" x14ac:dyDescent="0.3">
      <c r="A495" s="39">
        <v>38980</v>
      </c>
      <c r="B495" s="40">
        <v>9591</v>
      </c>
      <c r="C495" s="41" t="s">
        <v>163</v>
      </c>
      <c r="D495" s="41" t="s">
        <v>161</v>
      </c>
      <c r="E495" s="41" t="s">
        <v>169</v>
      </c>
      <c r="F495" s="41" t="s">
        <v>158</v>
      </c>
    </row>
    <row r="496" spans="1:6" ht="15.75" thickBot="1" x14ac:dyDescent="0.3">
      <c r="A496" s="39">
        <v>38980</v>
      </c>
      <c r="B496" s="40">
        <v>10000</v>
      </c>
      <c r="C496" s="41" t="s">
        <v>155</v>
      </c>
      <c r="D496" s="41" t="s">
        <v>161</v>
      </c>
      <c r="E496" s="41" t="s">
        <v>167</v>
      </c>
      <c r="F496" s="41" t="s">
        <v>158</v>
      </c>
    </row>
    <row r="497" spans="1:6" ht="15.75" thickBot="1" x14ac:dyDescent="0.3">
      <c r="A497" s="39">
        <v>38980</v>
      </c>
      <c r="B497" s="40">
        <v>15208</v>
      </c>
      <c r="C497" s="41" t="s">
        <v>160</v>
      </c>
      <c r="D497" s="41" t="s">
        <v>156</v>
      </c>
      <c r="E497" s="41" t="s">
        <v>157</v>
      </c>
      <c r="F497" s="41" t="s">
        <v>158</v>
      </c>
    </row>
    <row r="498" spans="1:6" ht="15.75" thickBot="1" x14ac:dyDescent="0.3">
      <c r="A498" s="39">
        <v>38980</v>
      </c>
      <c r="B498" s="40">
        <v>12158</v>
      </c>
      <c r="C498" s="41" t="s">
        <v>163</v>
      </c>
      <c r="D498" s="41" t="s">
        <v>156</v>
      </c>
      <c r="E498" s="41" t="s">
        <v>157</v>
      </c>
      <c r="F498" s="41" t="s">
        <v>158</v>
      </c>
    </row>
    <row r="499" spans="1:6" ht="15.75" thickBot="1" x14ac:dyDescent="0.3">
      <c r="A499" s="39">
        <v>38980</v>
      </c>
      <c r="B499" s="40">
        <v>75000</v>
      </c>
      <c r="C499" s="41" t="s">
        <v>160</v>
      </c>
      <c r="D499" s="41" t="s">
        <v>156</v>
      </c>
      <c r="E499" s="41" t="s">
        <v>167</v>
      </c>
      <c r="F499" s="41" t="s">
        <v>158</v>
      </c>
    </row>
    <row r="500" spans="1:6" ht="15.75" thickBot="1" x14ac:dyDescent="0.3">
      <c r="A500" s="39">
        <v>38980</v>
      </c>
      <c r="B500" s="40">
        <v>6761</v>
      </c>
      <c r="C500" s="41" t="s">
        <v>160</v>
      </c>
      <c r="D500" s="41" t="s">
        <v>161</v>
      </c>
      <c r="E500" s="41" t="s">
        <v>157</v>
      </c>
      <c r="F500" s="41" t="s">
        <v>158</v>
      </c>
    </row>
    <row r="501" spans="1:6" ht="15.75" thickBot="1" x14ac:dyDescent="0.3">
      <c r="A501" s="39">
        <v>38980</v>
      </c>
      <c r="B501" s="40">
        <v>12198</v>
      </c>
      <c r="C501" s="41" t="s">
        <v>166</v>
      </c>
      <c r="D501" s="41" t="s">
        <v>156</v>
      </c>
      <c r="E501" s="41" t="s">
        <v>167</v>
      </c>
      <c r="F501" s="41" t="s">
        <v>162</v>
      </c>
    </row>
    <row r="502" spans="1:6" ht="15.75" thickBot="1" x14ac:dyDescent="0.3">
      <c r="A502" s="39">
        <v>38980</v>
      </c>
      <c r="B502" s="40">
        <v>5981</v>
      </c>
      <c r="C502" s="41" t="s">
        <v>166</v>
      </c>
      <c r="D502" s="41" t="s">
        <v>161</v>
      </c>
      <c r="E502" s="41" t="s">
        <v>169</v>
      </c>
      <c r="F502" s="41" t="s">
        <v>162</v>
      </c>
    </row>
    <row r="503" spans="1:6" ht="15.75" thickBot="1" x14ac:dyDescent="0.3">
      <c r="A503" s="39">
        <v>38980</v>
      </c>
      <c r="B503" s="40">
        <v>13900</v>
      </c>
      <c r="C503" s="41" t="s">
        <v>166</v>
      </c>
      <c r="D503" s="41" t="s">
        <v>156</v>
      </c>
      <c r="E503" s="41" t="s">
        <v>157</v>
      </c>
      <c r="F503" s="41" t="s">
        <v>158</v>
      </c>
    </row>
    <row r="504" spans="1:6" ht="15.75" thickBot="1" x14ac:dyDescent="0.3">
      <c r="A504" s="39">
        <v>38980</v>
      </c>
      <c r="B504" s="40">
        <v>6608</v>
      </c>
      <c r="C504" s="41" t="s">
        <v>166</v>
      </c>
      <c r="D504" s="41" t="s">
        <v>161</v>
      </c>
      <c r="E504" s="41" t="s">
        <v>167</v>
      </c>
      <c r="F504" s="41" t="s">
        <v>162</v>
      </c>
    </row>
    <row r="505" spans="1:6" ht="15.75" thickBot="1" x14ac:dyDescent="0.3">
      <c r="A505" s="39">
        <v>38980</v>
      </c>
      <c r="B505" s="40">
        <v>600</v>
      </c>
      <c r="C505" s="41" t="s">
        <v>166</v>
      </c>
      <c r="D505" s="41" t="s">
        <v>156</v>
      </c>
      <c r="E505" s="41" t="s">
        <v>157</v>
      </c>
      <c r="F505" s="41" t="s">
        <v>158</v>
      </c>
    </row>
    <row r="506" spans="1:6" ht="15.75" thickBot="1" x14ac:dyDescent="0.3">
      <c r="A506" s="39">
        <v>38980</v>
      </c>
      <c r="B506" s="40">
        <v>12958</v>
      </c>
      <c r="C506" s="41" t="s">
        <v>163</v>
      </c>
      <c r="D506" s="41" t="s">
        <v>156</v>
      </c>
      <c r="E506" s="41" t="s">
        <v>157</v>
      </c>
      <c r="F506" s="41" t="s">
        <v>158</v>
      </c>
    </row>
    <row r="507" spans="1:6" ht="15.75" thickBot="1" x14ac:dyDescent="0.3">
      <c r="A507" s="39">
        <v>38980</v>
      </c>
      <c r="B507" s="40">
        <v>4323</v>
      </c>
      <c r="C507" s="41" t="s">
        <v>160</v>
      </c>
      <c r="D507" s="41" t="s">
        <v>156</v>
      </c>
      <c r="E507" s="41" t="s">
        <v>169</v>
      </c>
      <c r="F507" s="41" t="s">
        <v>158</v>
      </c>
    </row>
    <row r="508" spans="1:6" ht="15.75" thickBot="1" x14ac:dyDescent="0.3">
      <c r="A508" s="39">
        <v>38980</v>
      </c>
      <c r="B508" s="40">
        <v>9251</v>
      </c>
      <c r="C508" s="41" t="s">
        <v>160</v>
      </c>
      <c r="D508" s="41" t="s">
        <v>156</v>
      </c>
      <c r="E508" s="41" t="s">
        <v>157</v>
      </c>
      <c r="F508" s="41" t="s">
        <v>162</v>
      </c>
    </row>
    <row r="509" spans="1:6" ht="15.75" thickBot="1" x14ac:dyDescent="0.3">
      <c r="A509" s="39">
        <v>38980</v>
      </c>
      <c r="B509" s="40">
        <v>2749</v>
      </c>
      <c r="C509" s="41" t="s">
        <v>163</v>
      </c>
      <c r="D509" s="41" t="s">
        <v>156</v>
      </c>
      <c r="E509" s="41" t="s">
        <v>157</v>
      </c>
      <c r="F509" s="41" t="s">
        <v>158</v>
      </c>
    </row>
    <row r="510" spans="1:6" ht="15.75" thickBot="1" x14ac:dyDescent="0.3">
      <c r="A510" s="39">
        <v>38980</v>
      </c>
      <c r="B510" s="40">
        <v>11684</v>
      </c>
      <c r="C510" s="41" t="s">
        <v>166</v>
      </c>
      <c r="D510" s="41" t="s">
        <v>161</v>
      </c>
      <c r="E510" s="41" t="s">
        <v>157</v>
      </c>
      <c r="F510" s="41" t="s">
        <v>162</v>
      </c>
    </row>
    <row r="511" spans="1:6" ht="15.75" thickBot="1" x14ac:dyDescent="0.3">
      <c r="A511" s="39">
        <v>38980</v>
      </c>
      <c r="B511" s="40">
        <v>7604</v>
      </c>
      <c r="C511" s="41" t="s">
        <v>163</v>
      </c>
      <c r="D511" s="41" t="s">
        <v>161</v>
      </c>
      <c r="E511" s="41" t="s">
        <v>157</v>
      </c>
      <c r="F511" s="41" t="s">
        <v>162</v>
      </c>
    </row>
    <row r="512" spans="1:6" ht="15.75" thickBot="1" x14ac:dyDescent="0.3">
      <c r="A512" s="39">
        <v>38980</v>
      </c>
      <c r="B512" s="40">
        <v>13000</v>
      </c>
      <c r="C512" s="41" t="s">
        <v>160</v>
      </c>
      <c r="D512" s="41" t="s">
        <v>161</v>
      </c>
      <c r="E512" s="41" t="s">
        <v>169</v>
      </c>
      <c r="F512" s="41" t="s">
        <v>158</v>
      </c>
    </row>
    <row r="513" spans="1:6" ht="15.75" thickBot="1" x14ac:dyDescent="0.3">
      <c r="A513" s="39">
        <v>38980</v>
      </c>
      <c r="B513" s="40">
        <v>11801</v>
      </c>
      <c r="C513" s="41" t="s">
        <v>166</v>
      </c>
      <c r="D513" s="41" t="s">
        <v>156</v>
      </c>
      <c r="E513" s="41" t="s">
        <v>167</v>
      </c>
      <c r="F513" s="41" t="s">
        <v>158</v>
      </c>
    </row>
    <row r="514" spans="1:6" ht="15.75" thickBot="1" x14ac:dyDescent="0.3">
      <c r="A514" s="39">
        <v>38980</v>
      </c>
      <c r="B514" s="40">
        <v>10329</v>
      </c>
      <c r="C514" s="41" t="s">
        <v>166</v>
      </c>
      <c r="D514" s="41" t="s">
        <v>161</v>
      </c>
      <c r="E514" s="41" t="s">
        <v>157</v>
      </c>
      <c r="F514" s="41" t="s">
        <v>158</v>
      </c>
    </row>
    <row r="515" spans="1:6" ht="15.75" thickBot="1" x14ac:dyDescent="0.3">
      <c r="A515" s="39">
        <v>38981</v>
      </c>
      <c r="B515" s="40">
        <v>11935</v>
      </c>
      <c r="C515" s="41" t="s">
        <v>166</v>
      </c>
      <c r="D515" s="41" t="s">
        <v>156</v>
      </c>
      <c r="E515" s="41" t="s">
        <v>167</v>
      </c>
      <c r="F515" s="41" t="s">
        <v>158</v>
      </c>
    </row>
    <row r="516" spans="1:6" ht="15.75" thickBot="1" x14ac:dyDescent="0.3">
      <c r="A516" s="39">
        <v>38981</v>
      </c>
      <c r="B516" s="40">
        <v>4635</v>
      </c>
      <c r="C516" s="41" t="s">
        <v>163</v>
      </c>
      <c r="D516" s="41" t="s">
        <v>156</v>
      </c>
      <c r="E516" s="41" t="s">
        <v>157</v>
      </c>
      <c r="F516" s="41" t="s">
        <v>158</v>
      </c>
    </row>
    <row r="517" spans="1:6" ht="15.75" thickBot="1" x14ac:dyDescent="0.3">
      <c r="A517" s="39">
        <v>38981</v>
      </c>
      <c r="B517" s="40">
        <v>4000</v>
      </c>
      <c r="C517" s="41" t="s">
        <v>163</v>
      </c>
      <c r="D517" s="41" t="s">
        <v>156</v>
      </c>
      <c r="E517" s="41" t="s">
        <v>167</v>
      </c>
      <c r="F517" s="41" t="s">
        <v>158</v>
      </c>
    </row>
    <row r="518" spans="1:6" ht="15.75" thickBot="1" x14ac:dyDescent="0.3">
      <c r="A518" s="39">
        <v>38981</v>
      </c>
      <c r="B518" s="40">
        <v>4000</v>
      </c>
      <c r="C518" s="41" t="s">
        <v>163</v>
      </c>
      <c r="D518" s="41" t="s">
        <v>156</v>
      </c>
      <c r="E518" s="41" t="s">
        <v>157</v>
      </c>
      <c r="F518" s="41" t="s">
        <v>162</v>
      </c>
    </row>
    <row r="519" spans="1:6" ht="15.75" thickBot="1" x14ac:dyDescent="0.3">
      <c r="A519" s="39">
        <v>38981</v>
      </c>
      <c r="B519" s="40">
        <v>4000</v>
      </c>
      <c r="C519" s="41" t="s">
        <v>163</v>
      </c>
      <c r="D519" s="41" t="s">
        <v>156</v>
      </c>
      <c r="E519" s="41" t="s">
        <v>157</v>
      </c>
      <c r="F519" s="41" t="s">
        <v>158</v>
      </c>
    </row>
    <row r="520" spans="1:6" ht="15.75" thickBot="1" x14ac:dyDescent="0.3">
      <c r="A520" s="39">
        <v>38981</v>
      </c>
      <c r="B520" s="40">
        <v>6379</v>
      </c>
      <c r="C520" s="41" t="s">
        <v>163</v>
      </c>
      <c r="D520" s="41" t="s">
        <v>161</v>
      </c>
      <c r="E520" s="41" t="s">
        <v>167</v>
      </c>
      <c r="F520" s="41" t="s">
        <v>158</v>
      </c>
    </row>
    <row r="521" spans="1:6" ht="15.75" thickBot="1" x14ac:dyDescent="0.3">
      <c r="A521" s="39">
        <v>38981</v>
      </c>
      <c r="B521" s="40">
        <v>3951</v>
      </c>
      <c r="C521" s="41" t="s">
        <v>163</v>
      </c>
      <c r="D521" s="41" t="s">
        <v>156</v>
      </c>
      <c r="E521" s="41" t="s">
        <v>157</v>
      </c>
      <c r="F521" s="41" t="s">
        <v>162</v>
      </c>
    </row>
    <row r="522" spans="1:6" ht="15.75" thickBot="1" x14ac:dyDescent="0.3">
      <c r="A522" s="39">
        <v>38981</v>
      </c>
      <c r="B522" s="40">
        <v>10101</v>
      </c>
      <c r="C522" s="41" t="s">
        <v>166</v>
      </c>
      <c r="D522" s="41" t="s">
        <v>161</v>
      </c>
      <c r="E522" s="41" t="s">
        <v>157</v>
      </c>
      <c r="F522" s="41" t="s">
        <v>158</v>
      </c>
    </row>
    <row r="523" spans="1:6" ht="15.75" thickBot="1" x14ac:dyDescent="0.3">
      <c r="A523" s="39">
        <v>38981</v>
      </c>
      <c r="B523" s="40">
        <v>13000</v>
      </c>
      <c r="C523" s="41" t="s">
        <v>160</v>
      </c>
      <c r="D523" s="41" t="s">
        <v>156</v>
      </c>
      <c r="E523" s="41" t="s">
        <v>157</v>
      </c>
      <c r="F523" s="41" t="s">
        <v>158</v>
      </c>
    </row>
    <row r="524" spans="1:6" ht="15.75" thickBot="1" x14ac:dyDescent="0.3">
      <c r="A524" s="39">
        <v>38981</v>
      </c>
      <c r="B524" s="40">
        <v>5680</v>
      </c>
      <c r="C524" s="41" t="s">
        <v>166</v>
      </c>
      <c r="D524" s="41" t="s">
        <v>161</v>
      </c>
      <c r="E524" s="41" t="s">
        <v>157</v>
      </c>
      <c r="F524" s="41" t="s">
        <v>158</v>
      </c>
    </row>
    <row r="525" spans="1:6" ht="15.75" thickBot="1" x14ac:dyDescent="0.3">
      <c r="A525" s="39">
        <v>38981</v>
      </c>
      <c r="B525" s="40">
        <v>8469</v>
      </c>
      <c r="C525" s="41" t="s">
        <v>160</v>
      </c>
      <c r="D525" s="41" t="s">
        <v>156</v>
      </c>
      <c r="E525" s="41" t="s">
        <v>157</v>
      </c>
      <c r="F525" s="41" t="s">
        <v>158</v>
      </c>
    </row>
    <row r="526" spans="1:6" ht="15.75" thickBot="1" x14ac:dyDescent="0.3">
      <c r="A526" s="39">
        <v>38981</v>
      </c>
      <c r="B526" s="40">
        <v>344</v>
      </c>
      <c r="C526" s="41" t="s">
        <v>163</v>
      </c>
      <c r="D526" s="41" t="s">
        <v>156</v>
      </c>
      <c r="E526" s="41" t="s">
        <v>169</v>
      </c>
      <c r="F526" s="41" t="s">
        <v>162</v>
      </c>
    </row>
    <row r="527" spans="1:6" ht="15.75" thickBot="1" x14ac:dyDescent="0.3">
      <c r="A527" s="39">
        <v>38981</v>
      </c>
      <c r="B527" s="40">
        <v>3000</v>
      </c>
      <c r="C527" s="41" t="s">
        <v>163</v>
      </c>
      <c r="D527" s="41" t="s">
        <v>156</v>
      </c>
      <c r="E527" s="41" t="s">
        <v>157</v>
      </c>
      <c r="F527" s="41" t="s">
        <v>158</v>
      </c>
    </row>
    <row r="528" spans="1:6" ht="15.75" thickBot="1" x14ac:dyDescent="0.3">
      <c r="A528" s="39">
        <v>38981</v>
      </c>
      <c r="B528" s="40">
        <v>4000</v>
      </c>
      <c r="C528" s="41" t="s">
        <v>166</v>
      </c>
      <c r="D528" s="41" t="s">
        <v>156</v>
      </c>
      <c r="E528" s="41" t="s">
        <v>167</v>
      </c>
      <c r="F528" s="41" t="s">
        <v>158</v>
      </c>
    </row>
    <row r="529" spans="1:6" ht="15.75" thickBot="1" x14ac:dyDescent="0.3">
      <c r="A529" s="39">
        <v>38981</v>
      </c>
      <c r="B529" s="40">
        <v>13519</v>
      </c>
      <c r="C529" s="41" t="s">
        <v>160</v>
      </c>
      <c r="D529" s="41" t="s">
        <v>156</v>
      </c>
      <c r="E529" s="41" t="s">
        <v>157</v>
      </c>
      <c r="F529" s="41" t="s">
        <v>158</v>
      </c>
    </row>
    <row r="530" spans="1:6" ht="15.75" thickBot="1" x14ac:dyDescent="0.3">
      <c r="A530" s="39">
        <v>38981</v>
      </c>
      <c r="B530" s="40">
        <v>9000</v>
      </c>
      <c r="C530" s="41" t="s">
        <v>155</v>
      </c>
      <c r="D530" s="41" t="s">
        <v>156</v>
      </c>
      <c r="E530" s="41" t="s">
        <v>157</v>
      </c>
      <c r="F530" s="41" t="s">
        <v>158</v>
      </c>
    </row>
    <row r="531" spans="1:6" ht="15.75" thickBot="1" x14ac:dyDescent="0.3">
      <c r="A531" s="39">
        <v>38981</v>
      </c>
      <c r="B531" s="40">
        <v>2878</v>
      </c>
      <c r="C531" s="41" t="s">
        <v>166</v>
      </c>
      <c r="D531" s="41" t="s">
        <v>156</v>
      </c>
      <c r="E531" s="41" t="s">
        <v>167</v>
      </c>
      <c r="F531" s="41" t="s">
        <v>158</v>
      </c>
    </row>
    <row r="532" spans="1:6" ht="15.75" thickBot="1" x14ac:dyDescent="0.3">
      <c r="A532" s="39">
        <v>38981</v>
      </c>
      <c r="B532" s="40">
        <v>6561</v>
      </c>
      <c r="C532" s="41" t="s">
        <v>163</v>
      </c>
      <c r="D532" s="41" t="s">
        <v>161</v>
      </c>
      <c r="E532" s="41" t="s">
        <v>167</v>
      </c>
      <c r="F532" s="41" t="s">
        <v>162</v>
      </c>
    </row>
    <row r="533" spans="1:6" ht="15.75" thickBot="1" x14ac:dyDescent="0.3">
      <c r="A533" s="39">
        <v>38981</v>
      </c>
      <c r="B533" s="40">
        <v>3075</v>
      </c>
      <c r="C533" s="41" t="s">
        <v>163</v>
      </c>
      <c r="D533" s="41" t="s">
        <v>156</v>
      </c>
      <c r="E533" s="41" t="s">
        <v>169</v>
      </c>
      <c r="F533" s="41" t="s">
        <v>158</v>
      </c>
    </row>
    <row r="534" spans="1:6" ht="15.75" thickBot="1" x14ac:dyDescent="0.3">
      <c r="A534" s="39">
        <v>38982</v>
      </c>
      <c r="B534" s="40">
        <v>12700</v>
      </c>
      <c r="C534" s="41" t="s">
        <v>163</v>
      </c>
      <c r="D534" s="41" t="s">
        <v>161</v>
      </c>
      <c r="E534" s="41" t="s">
        <v>169</v>
      </c>
      <c r="F534" s="41" t="s">
        <v>158</v>
      </c>
    </row>
    <row r="535" spans="1:6" ht="15.75" thickBot="1" x14ac:dyDescent="0.3">
      <c r="A535" s="39">
        <v>38982</v>
      </c>
      <c r="B535" s="40">
        <v>5904</v>
      </c>
      <c r="C535" s="41" t="s">
        <v>163</v>
      </c>
      <c r="D535" s="41" t="s">
        <v>156</v>
      </c>
      <c r="E535" s="41" t="s">
        <v>157</v>
      </c>
      <c r="F535" s="41" t="s">
        <v>158</v>
      </c>
    </row>
    <row r="536" spans="1:6" ht="15.75" thickBot="1" x14ac:dyDescent="0.3">
      <c r="A536" s="39">
        <v>38982</v>
      </c>
      <c r="B536" s="40">
        <v>12455</v>
      </c>
      <c r="C536" s="41" t="s">
        <v>160</v>
      </c>
      <c r="D536" s="41" t="s">
        <v>161</v>
      </c>
      <c r="E536" s="41" t="s">
        <v>167</v>
      </c>
      <c r="F536" s="41" t="s">
        <v>158</v>
      </c>
    </row>
    <row r="537" spans="1:6" ht="15.75" thickBot="1" x14ac:dyDescent="0.3">
      <c r="A537" s="39">
        <v>38982</v>
      </c>
      <c r="B537" s="40">
        <v>13000</v>
      </c>
      <c r="C537" s="41" t="s">
        <v>160</v>
      </c>
      <c r="D537" s="41" t="s">
        <v>161</v>
      </c>
      <c r="E537" s="41" t="s">
        <v>169</v>
      </c>
      <c r="F537" s="41" t="s">
        <v>158</v>
      </c>
    </row>
    <row r="538" spans="1:6" ht="15.75" thickBot="1" x14ac:dyDescent="0.3">
      <c r="A538" s="39">
        <v>38982</v>
      </c>
      <c r="B538" s="40">
        <v>600</v>
      </c>
      <c r="C538" s="41" t="s">
        <v>166</v>
      </c>
      <c r="D538" s="41" t="s">
        <v>156</v>
      </c>
      <c r="E538" s="41" t="s">
        <v>157</v>
      </c>
      <c r="F538" s="41" t="s">
        <v>158</v>
      </c>
    </row>
    <row r="539" spans="1:6" ht="15.75" thickBot="1" x14ac:dyDescent="0.3">
      <c r="A539" s="39">
        <v>38982</v>
      </c>
      <c r="B539" s="40">
        <v>13155</v>
      </c>
      <c r="C539" s="41" t="s">
        <v>160</v>
      </c>
      <c r="D539" s="41" t="s">
        <v>161</v>
      </c>
      <c r="E539" s="41" t="s">
        <v>167</v>
      </c>
      <c r="F539" s="41" t="s">
        <v>158</v>
      </c>
    </row>
    <row r="540" spans="1:6" ht="15.75" thickBot="1" x14ac:dyDescent="0.3">
      <c r="A540" s="39">
        <v>38982</v>
      </c>
      <c r="B540" s="40">
        <v>3728</v>
      </c>
      <c r="C540" s="41" t="s">
        <v>163</v>
      </c>
      <c r="D540" s="41" t="s">
        <v>156</v>
      </c>
      <c r="E540" s="41" t="s">
        <v>167</v>
      </c>
      <c r="F540" s="41" t="s">
        <v>162</v>
      </c>
    </row>
    <row r="541" spans="1:6" ht="15.75" thickBot="1" x14ac:dyDescent="0.3">
      <c r="A541" s="39">
        <v>38982</v>
      </c>
      <c r="B541" s="40">
        <v>2000</v>
      </c>
      <c r="C541" s="41" t="s">
        <v>163</v>
      </c>
      <c r="D541" s="41" t="s">
        <v>161</v>
      </c>
      <c r="E541" s="41" t="s">
        <v>169</v>
      </c>
      <c r="F541" s="41" t="s">
        <v>158</v>
      </c>
    </row>
    <row r="542" spans="1:6" ht="15.75" thickBot="1" x14ac:dyDescent="0.3">
      <c r="A542" s="39">
        <v>38982</v>
      </c>
      <c r="B542" s="40">
        <v>13550</v>
      </c>
      <c r="C542" s="41" t="s">
        <v>160</v>
      </c>
      <c r="D542" s="41" t="s">
        <v>156</v>
      </c>
      <c r="E542" s="41" t="s">
        <v>157</v>
      </c>
      <c r="F542" s="41" t="s">
        <v>162</v>
      </c>
    </row>
    <row r="543" spans="1:6" ht="15.75" thickBot="1" x14ac:dyDescent="0.3">
      <c r="A543" s="39">
        <v>38982</v>
      </c>
      <c r="B543" s="40">
        <v>7854</v>
      </c>
      <c r="C543" s="41" t="s">
        <v>166</v>
      </c>
      <c r="D543" s="41" t="s">
        <v>161</v>
      </c>
      <c r="E543" s="41" t="s">
        <v>167</v>
      </c>
      <c r="F543" s="41" t="s">
        <v>162</v>
      </c>
    </row>
    <row r="544" spans="1:6" ht="15.75" thickBot="1" x14ac:dyDescent="0.3">
      <c r="A544" s="39">
        <v>38982</v>
      </c>
      <c r="B544" s="40">
        <v>5393</v>
      </c>
      <c r="C544" s="41" t="s">
        <v>166</v>
      </c>
      <c r="D544" s="41" t="s">
        <v>161</v>
      </c>
      <c r="E544" s="41" t="s">
        <v>157</v>
      </c>
      <c r="F544" s="41" t="s">
        <v>162</v>
      </c>
    </row>
    <row r="545" spans="1:6" ht="15.75" thickBot="1" x14ac:dyDescent="0.3">
      <c r="A545" s="39">
        <v>38982</v>
      </c>
      <c r="B545" s="40">
        <v>8469</v>
      </c>
      <c r="C545" s="41" t="s">
        <v>160</v>
      </c>
      <c r="D545" s="41" t="s">
        <v>161</v>
      </c>
      <c r="E545" s="41" t="s">
        <v>169</v>
      </c>
      <c r="F545" s="41" t="s">
        <v>158</v>
      </c>
    </row>
    <row r="546" spans="1:6" ht="15.75" thickBot="1" x14ac:dyDescent="0.3">
      <c r="A546" s="39">
        <v>38982</v>
      </c>
      <c r="B546" s="40">
        <v>200</v>
      </c>
      <c r="C546" s="41" t="s">
        <v>166</v>
      </c>
      <c r="D546" s="41" t="s">
        <v>156</v>
      </c>
      <c r="E546" s="41" t="s">
        <v>157</v>
      </c>
      <c r="F546" s="41" t="s">
        <v>158</v>
      </c>
    </row>
    <row r="547" spans="1:6" ht="15.75" thickBot="1" x14ac:dyDescent="0.3">
      <c r="A547" s="39">
        <v>38982</v>
      </c>
      <c r="B547" s="40">
        <v>12789</v>
      </c>
      <c r="C547" s="41" t="s">
        <v>163</v>
      </c>
      <c r="D547" s="41" t="s">
        <v>161</v>
      </c>
      <c r="E547" s="41" t="s">
        <v>157</v>
      </c>
      <c r="F547" s="41" t="s">
        <v>162</v>
      </c>
    </row>
    <row r="548" spans="1:6" ht="15.75" thickBot="1" x14ac:dyDescent="0.3">
      <c r="A548" s="39">
        <v>38982</v>
      </c>
      <c r="B548" s="40">
        <v>133</v>
      </c>
      <c r="C548" s="41" t="s">
        <v>163</v>
      </c>
      <c r="D548" s="41" t="s">
        <v>156</v>
      </c>
      <c r="E548" s="41" t="s">
        <v>169</v>
      </c>
      <c r="F548" s="41" t="s">
        <v>158</v>
      </c>
    </row>
    <row r="549" spans="1:6" ht="15.75" thickBot="1" x14ac:dyDescent="0.3">
      <c r="A549" s="39">
        <v>38982</v>
      </c>
      <c r="B549" s="40">
        <v>30000</v>
      </c>
      <c r="C549" s="41" t="s">
        <v>166</v>
      </c>
      <c r="D549" s="41" t="s">
        <v>156</v>
      </c>
      <c r="E549" s="41" t="s">
        <v>157</v>
      </c>
      <c r="F549" s="41" t="s">
        <v>158</v>
      </c>
    </row>
    <row r="550" spans="1:6" ht="15.75" thickBot="1" x14ac:dyDescent="0.3">
      <c r="A550" s="39">
        <v>38982</v>
      </c>
      <c r="B550" s="40">
        <v>11169</v>
      </c>
      <c r="C550" s="41" t="s">
        <v>166</v>
      </c>
      <c r="D550" s="41" t="s">
        <v>161</v>
      </c>
      <c r="E550" s="41" t="s">
        <v>169</v>
      </c>
      <c r="F550" s="41" t="s">
        <v>158</v>
      </c>
    </row>
    <row r="551" spans="1:6" ht="15.75" thickBot="1" x14ac:dyDescent="0.3">
      <c r="A551" s="39">
        <v>38982</v>
      </c>
      <c r="B551" s="40">
        <v>6314</v>
      </c>
      <c r="C551" s="41" t="s">
        <v>160</v>
      </c>
      <c r="D551" s="41" t="s">
        <v>161</v>
      </c>
      <c r="E551" s="41" t="s">
        <v>167</v>
      </c>
      <c r="F551" s="41" t="s">
        <v>158</v>
      </c>
    </row>
    <row r="552" spans="1:6" ht="15.75" thickBot="1" x14ac:dyDescent="0.3">
      <c r="A552" s="39">
        <v>38982</v>
      </c>
      <c r="B552" s="40">
        <v>500</v>
      </c>
      <c r="C552" s="41" t="s">
        <v>163</v>
      </c>
      <c r="D552" s="41" t="s">
        <v>161</v>
      </c>
      <c r="E552" s="41" t="s">
        <v>157</v>
      </c>
      <c r="F552" s="41" t="s">
        <v>162</v>
      </c>
    </row>
    <row r="553" spans="1:6" ht="15.75" thickBot="1" x14ac:dyDescent="0.3">
      <c r="A553" s="39">
        <v>38982</v>
      </c>
      <c r="B553" s="40">
        <v>14698</v>
      </c>
      <c r="C553" s="41" t="s">
        <v>160</v>
      </c>
      <c r="D553" s="41" t="s">
        <v>156</v>
      </c>
      <c r="E553" s="41" t="s">
        <v>169</v>
      </c>
      <c r="F553" s="41" t="s">
        <v>162</v>
      </c>
    </row>
    <row r="554" spans="1:6" ht="15.75" thickBot="1" x14ac:dyDescent="0.3">
      <c r="A554" s="39">
        <v>38982</v>
      </c>
      <c r="B554" s="40">
        <v>11201</v>
      </c>
      <c r="C554" s="41" t="s">
        <v>160</v>
      </c>
      <c r="D554" s="41" t="s">
        <v>156</v>
      </c>
      <c r="E554" s="41" t="s">
        <v>157</v>
      </c>
      <c r="F554" s="41" t="s">
        <v>162</v>
      </c>
    </row>
    <row r="555" spans="1:6" ht="15.75" thickBot="1" x14ac:dyDescent="0.3">
      <c r="A555" s="39">
        <v>38982</v>
      </c>
      <c r="B555" s="40">
        <v>8042</v>
      </c>
      <c r="C555" s="41" t="s">
        <v>166</v>
      </c>
      <c r="D555" s="41" t="s">
        <v>161</v>
      </c>
      <c r="E555" s="41" t="s">
        <v>167</v>
      </c>
      <c r="F555" s="41" t="s">
        <v>158</v>
      </c>
    </row>
    <row r="556" spans="1:6" ht="15.75" thickBot="1" x14ac:dyDescent="0.3">
      <c r="A556" s="39">
        <v>38982</v>
      </c>
      <c r="B556" s="40">
        <v>13973</v>
      </c>
      <c r="C556" s="41" t="s">
        <v>166</v>
      </c>
      <c r="D556" s="41" t="s">
        <v>156</v>
      </c>
      <c r="E556" s="41" t="s">
        <v>169</v>
      </c>
      <c r="F556" s="41" t="s">
        <v>158</v>
      </c>
    </row>
    <row r="557" spans="1:6" ht="15.75" thickBot="1" x14ac:dyDescent="0.3">
      <c r="A557" s="39">
        <v>38982</v>
      </c>
      <c r="B557" s="40">
        <v>7192</v>
      </c>
      <c r="C557" s="41" t="s">
        <v>166</v>
      </c>
      <c r="D557" s="41" t="s">
        <v>156</v>
      </c>
      <c r="E557" s="41" t="s">
        <v>157</v>
      </c>
      <c r="F557" s="41" t="s">
        <v>162</v>
      </c>
    </row>
    <row r="558" spans="1:6" ht="15.75" thickBot="1" x14ac:dyDescent="0.3">
      <c r="A558" s="39">
        <v>38982</v>
      </c>
      <c r="B558" s="40">
        <v>15208</v>
      </c>
      <c r="C558" s="41" t="s">
        <v>160</v>
      </c>
      <c r="D558" s="41" t="s">
        <v>156</v>
      </c>
      <c r="E558" s="41" t="s">
        <v>157</v>
      </c>
      <c r="F558" s="41" t="s">
        <v>158</v>
      </c>
    </row>
    <row r="559" spans="1:6" ht="15.75" thickBot="1" x14ac:dyDescent="0.3">
      <c r="A559" s="39">
        <v>38982</v>
      </c>
      <c r="B559" s="40">
        <v>2749</v>
      </c>
      <c r="C559" s="41" t="s">
        <v>163</v>
      </c>
      <c r="D559" s="41" t="s">
        <v>156</v>
      </c>
      <c r="E559" s="41" t="s">
        <v>157</v>
      </c>
      <c r="F559" s="41" t="s">
        <v>162</v>
      </c>
    </row>
    <row r="560" spans="1:6" ht="15.75" thickBot="1" x14ac:dyDescent="0.3">
      <c r="A560" s="39">
        <v>38982</v>
      </c>
      <c r="B560" s="40">
        <v>9641</v>
      </c>
      <c r="C560" s="41" t="s">
        <v>163</v>
      </c>
      <c r="D560" s="41" t="s">
        <v>161</v>
      </c>
      <c r="E560" s="41" t="s">
        <v>157</v>
      </c>
      <c r="F560" s="41" t="s">
        <v>158</v>
      </c>
    </row>
    <row r="561" spans="1:6" ht="15.75" thickBot="1" x14ac:dyDescent="0.3">
      <c r="A561" s="39">
        <v>38982</v>
      </c>
      <c r="B561" s="40">
        <v>75000</v>
      </c>
      <c r="C561" s="41" t="s">
        <v>160</v>
      </c>
      <c r="D561" s="41" t="s">
        <v>156</v>
      </c>
      <c r="E561" s="41" t="s">
        <v>167</v>
      </c>
      <c r="F561" s="41" t="s">
        <v>158</v>
      </c>
    </row>
    <row r="562" spans="1:6" ht="15.75" thickBot="1" x14ac:dyDescent="0.3">
      <c r="A562" s="39">
        <v>38982</v>
      </c>
      <c r="B562" s="40">
        <v>5943</v>
      </c>
      <c r="C562" s="41" t="s">
        <v>160</v>
      </c>
      <c r="D562" s="41" t="s">
        <v>161</v>
      </c>
      <c r="E562" s="41" t="s">
        <v>157</v>
      </c>
      <c r="F562" s="41" t="s">
        <v>158</v>
      </c>
    </row>
    <row r="563" spans="1:6" ht="15.75" thickBot="1" x14ac:dyDescent="0.3">
      <c r="A563" s="39">
        <v>38982</v>
      </c>
      <c r="B563" s="40">
        <v>11898</v>
      </c>
      <c r="C563" s="41" t="s">
        <v>160</v>
      </c>
      <c r="D563" s="41" t="s">
        <v>156</v>
      </c>
      <c r="E563" s="41" t="s">
        <v>167</v>
      </c>
      <c r="F563" s="41" t="s">
        <v>162</v>
      </c>
    </row>
    <row r="564" spans="1:6" ht="15.75" thickBot="1" x14ac:dyDescent="0.3">
      <c r="A564" s="39">
        <v>38982</v>
      </c>
      <c r="B564" s="40">
        <v>9001</v>
      </c>
      <c r="C564" s="41" t="s">
        <v>160</v>
      </c>
      <c r="D564" s="41" t="s">
        <v>156</v>
      </c>
      <c r="E564" s="41" t="s">
        <v>167</v>
      </c>
      <c r="F564" s="41" t="s">
        <v>162</v>
      </c>
    </row>
    <row r="565" spans="1:6" ht="15.75" thickBot="1" x14ac:dyDescent="0.3">
      <c r="A565" s="39">
        <v>38982</v>
      </c>
      <c r="B565" s="40">
        <v>2000</v>
      </c>
      <c r="C565" s="41" t="s">
        <v>155</v>
      </c>
      <c r="D565" s="41" t="s">
        <v>161</v>
      </c>
      <c r="E565" s="41" t="s">
        <v>167</v>
      </c>
      <c r="F565" s="41" t="s">
        <v>162</v>
      </c>
    </row>
    <row r="566" spans="1:6" ht="15.75" thickBot="1" x14ac:dyDescent="0.3">
      <c r="A566" s="39">
        <v>38982</v>
      </c>
      <c r="B566" s="40">
        <v>3807</v>
      </c>
      <c r="C566" s="41" t="s">
        <v>163</v>
      </c>
      <c r="D566" s="41" t="s">
        <v>156</v>
      </c>
      <c r="E566" s="41" t="s">
        <v>169</v>
      </c>
      <c r="F566" s="41" t="s">
        <v>158</v>
      </c>
    </row>
    <row r="567" spans="1:6" ht="15.75" thickBot="1" x14ac:dyDescent="0.3">
      <c r="A567" s="39">
        <v>38982</v>
      </c>
      <c r="B567" s="40">
        <v>4191</v>
      </c>
      <c r="C567" s="41" t="s">
        <v>160</v>
      </c>
      <c r="D567" s="41" t="s">
        <v>161</v>
      </c>
      <c r="E567" s="41" t="s">
        <v>157</v>
      </c>
      <c r="F567" s="41" t="s">
        <v>162</v>
      </c>
    </row>
    <row r="568" spans="1:6" ht="15.75" thickBot="1" x14ac:dyDescent="0.3">
      <c r="A568" s="39">
        <v>38982</v>
      </c>
      <c r="B568" s="40">
        <v>7342</v>
      </c>
      <c r="C568" s="41" t="s">
        <v>163</v>
      </c>
      <c r="D568" s="41" t="s">
        <v>156</v>
      </c>
      <c r="E568" s="41" t="s">
        <v>157</v>
      </c>
      <c r="F568" s="41" t="s">
        <v>162</v>
      </c>
    </row>
    <row r="569" spans="1:6" ht="15.75" thickBot="1" x14ac:dyDescent="0.3">
      <c r="A569" s="39">
        <v>38982</v>
      </c>
      <c r="B569" s="40">
        <v>4985</v>
      </c>
      <c r="C569" s="41" t="s">
        <v>166</v>
      </c>
      <c r="D569" s="41" t="s">
        <v>156</v>
      </c>
      <c r="E569" s="41" t="s">
        <v>169</v>
      </c>
      <c r="F569" s="41" t="s">
        <v>158</v>
      </c>
    </row>
    <row r="570" spans="1:6" ht="15.75" thickBot="1" x14ac:dyDescent="0.3">
      <c r="A570" s="39">
        <v>38982</v>
      </c>
      <c r="B570" s="40">
        <v>12276</v>
      </c>
      <c r="C570" s="41" t="s">
        <v>160</v>
      </c>
      <c r="D570" s="41" t="s">
        <v>161</v>
      </c>
      <c r="E570" s="41" t="s">
        <v>169</v>
      </c>
      <c r="F570" s="41" t="s">
        <v>162</v>
      </c>
    </row>
    <row r="571" spans="1:6" ht="15.75" thickBot="1" x14ac:dyDescent="0.3">
      <c r="A571" s="39">
        <v>38983</v>
      </c>
      <c r="B571" s="40">
        <v>7167</v>
      </c>
      <c r="C571" s="41" t="s">
        <v>166</v>
      </c>
      <c r="D571" s="41" t="s">
        <v>156</v>
      </c>
      <c r="E571" s="41" t="s">
        <v>157</v>
      </c>
      <c r="F571" s="41" t="s">
        <v>158</v>
      </c>
    </row>
    <row r="572" spans="1:6" ht="15.75" thickBot="1" x14ac:dyDescent="0.3">
      <c r="A572" s="39">
        <v>38983</v>
      </c>
      <c r="B572" s="40">
        <v>12817</v>
      </c>
      <c r="C572" s="41" t="s">
        <v>163</v>
      </c>
      <c r="D572" s="41" t="s">
        <v>156</v>
      </c>
      <c r="E572" s="41" t="s">
        <v>157</v>
      </c>
      <c r="F572" s="41" t="s">
        <v>162</v>
      </c>
    </row>
    <row r="573" spans="1:6" ht="15.75" thickBot="1" x14ac:dyDescent="0.3">
      <c r="A573" s="39">
        <v>38983</v>
      </c>
      <c r="B573" s="40">
        <v>5517</v>
      </c>
      <c r="C573" s="41" t="s">
        <v>163</v>
      </c>
      <c r="D573" s="41" t="s">
        <v>161</v>
      </c>
      <c r="E573" s="41" t="s">
        <v>167</v>
      </c>
      <c r="F573" s="41" t="s">
        <v>162</v>
      </c>
    </row>
    <row r="574" spans="1:6" ht="15.75" thickBot="1" x14ac:dyDescent="0.3">
      <c r="A574" s="39">
        <v>38983</v>
      </c>
      <c r="B574" s="40">
        <v>10306</v>
      </c>
      <c r="C574" s="41" t="s">
        <v>160</v>
      </c>
      <c r="D574" s="41" t="s">
        <v>161</v>
      </c>
      <c r="E574" s="41" t="s">
        <v>167</v>
      </c>
      <c r="F574" s="41" t="s">
        <v>158</v>
      </c>
    </row>
    <row r="575" spans="1:6" ht="15.75" thickBot="1" x14ac:dyDescent="0.3">
      <c r="A575" s="39">
        <v>38983</v>
      </c>
      <c r="B575" s="40">
        <v>14433</v>
      </c>
      <c r="C575" s="41" t="s">
        <v>163</v>
      </c>
      <c r="D575" s="41" t="s">
        <v>161</v>
      </c>
      <c r="E575" s="41" t="s">
        <v>157</v>
      </c>
      <c r="F575" s="41" t="s">
        <v>158</v>
      </c>
    </row>
    <row r="576" spans="1:6" ht="15.75" thickBot="1" x14ac:dyDescent="0.3">
      <c r="A576" s="39">
        <v>38983</v>
      </c>
      <c r="B576" s="40">
        <v>4562</v>
      </c>
      <c r="C576" s="41" t="s">
        <v>163</v>
      </c>
      <c r="D576" s="41" t="s">
        <v>161</v>
      </c>
      <c r="E576" s="41" t="s">
        <v>157</v>
      </c>
      <c r="F576" s="41" t="s">
        <v>162</v>
      </c>
    </row>
    <row r="577" spans="1:6" ht="15.75" thickBot="1" x14ac:dyDescent="0.3">
      <c r="A577" s="39">
        <v>38983</v>
      </c>
      <c r="B577" s="40">
        <v>11541</v>
      </c>
      <c r="C577" s="41" t="s">
        <v>160</v>
      </c>
      <c r="D577" s="41" t="s">
        <v>156</v>
      </c>
      <c r="E577" s="41" t="s">
        <v>157</v>
      </c>
      <c r="F577" s="41" t="s">
        <v>158</v>
      </c>
    </row>
    <row r="578" spans="1:6" ht="15.75" thickBot="1" x14ac:dyDescent="0.3">
      <c r="A578" s="39">
        <v>38983</v>
      </c>
      <c r="B578" s="40">
        <v>5586</v>
      </c>
      <c r="C578" s="41" t="s">
        <v>160</v>
      </c>
      <c r="D578" s="41" t="s">
        <v>161</v>
      </c>
      <c r="E578" s="41" t="s">
        <v>157</v>
      </c>
      <c r="F578" s="41" t="s">
        <v>162</v>
      </c>
    </row>
    <row r="579" spans="1:6" ht="15.75" thickBot="1" x14ac:dyDescent="0.3">
      <c r="A579" s="39">
        <v>38984</v>
      </c>
      <c r="B579" s="40">
        <v>7668</v>
      </c>
      <c r="C579" s="41" t="s">
        <v>160</v>
      </c>
      <c r="D579" s="41" t="s">
        <v>161</v>
      </c>
      <c r="E579" s="41" t="s">
        <v>169</v>
      </c>
      <c r="F579" s="41" t="s">
        <v>162</v>
      </c>
    </row>
    <row r="580" spans="1:6" ht="15.75" thickBot="1" x14ac:dyDescent="0.3">
      <c r="A580" s="39">
        <v>38984</v>
      </c>
      <c r="B580" s="40">
        <v>4010</v>
      </c>
      <c r="C580" s="41" t="s">
        <v>163</v>
      </c>
      <c r="D580" s="41" t="s">
        <v>156</v>
      </c>
      <c r="E580" s="41" t="s">
        <v>157</v>
      </c>
      <c r="F580" s="41" t="s">
        <v>158</v>
      </c>
    </row>
    <row r="581" spans="1:6" ht="15.75" thickBot="1" x14ac:dyDescent="0.3">
      <c r="A581" s="39">
        <v>38984</v>
      </c>
      <c r="B581" s="40">
        <v>10332</v>
      </c>
      <c r="C581" s="41" t="s">
        <v>163</v>
      </c>
      <c r="D581" s="41" t="s">
        <v>156</v>
      </c>
      <c r="E581" s="41" t="s">
        <v>157</v>
      </c>
      <c r="F581" s="41" t="s">
        <v>162</v>
      </c>
    </row>
    <row r="582" spans="1:6" ht="15.75" thickBot="1" x14ac:dyDescent="0.3">
      <c r="A582" s="39">
        <v>38984</v>
      </c>
      <c r="B582" s="40">
        <v>14693</v>
      </c>
      <c r="C582" s="41" t="s">
        <v>163</v>
      </c>
      <c r="D582" s="41" t="s">
        <v>161</v>
      </c>
      <c r="E582" s="41" t="s">
        <v>157</v>
      </c>
      <c r="F582" s="41" t="s">
        <v>158</v>
      </c>
    </row>
    <row r="583" spans="1:6" ht="15.75" thickBot="1" x14ac:dyDescent="0.3">
      <c r="A583" s="39">
        <v>38984</v>
      </c>
      <c r="B583" s="40">
        <v>13091</v>
      </c>
      <c r="C583" s="41" t="s">
        <v>160</v>
      </c>
      <c r="D583" s="41" t="s">
        <v>161</v>
      </c>
      <c r="E583" s="41" t="s">
        <v>157</v>
      </c>
      <c r="F583" s="41" t="s">
        <v>162</v>
      </c>
    </row>
    <row r="584" spans="1:6" ht="15.75" thickBot="1" x14ac:dyDescent="0.3">
      <c r="A584" s="39">
        <v>38984</v>
      </c>
      <c r="B584" s="40">
        <v>14757</v>
      </c>
      <c r="C584" s="41" t="s">
        <v>163</v>
      </c>
      <c r="D584" s="41" t="s">
        <v>161</v>
      </c>
      <c r="E584" s="41" t="s">
        <v>157</v>
      </c>
      <c r="F584" s="41" t="s">
        <v>162</v>
      </c>
    </row>
    <row r="585" spans="1:6" ht="15.75" thickBot="1" x14ac:dyDescent="0.3">
      <c r="A585" s="39">
        <v>38984</v>
      </c>
      <c r="B585" s="40">
        <v>8436</v>
      </c>
      <c r="C585" s="41" t="s">
        <v>166</v>
      </c>
      <c r="D585" s="41" t="s">
        <v>156</v>
      </c>
      <c r="E585" s="41" t="s">
        <v>167</v>
      </c>
      <c r="F585" s="41" t="s">
        <v>162</v>
      </c>
    </row>
    <row r="586" spans="1:6" ht="15.75" thickBot="1" x14ac:dyDescent="0.3">
      <c r="A586" s="39">
        <v>38984</v>
      </c>
      <c r="B586" s="40">
        <v>14849</v>
      </c>
      <c r="C586" s="41" t="s">
        <v>166</v>
      </c>
      <c r="D586" s="41" t="s">
        <v>156</v>
      </c>
      <c r="E586" s="41" t="s">
        <v>167</v>
      </c>
      <c r="F586" s="41" t="s">
        <v>158</v>
      </c>
    </row>
    <row r="587" spans="1:6" ht="15.75" thickBot="1" x14ac:dyDescent="0.3">
      <c r="A587" s="39">
        <v>38984</v>
      </c>
      <c r="B587" s="40">
        <v>11365</v>
      </c>
      <c r="C587" s="41" t="s">
        <v>166</v>
      </c>
      <c r="D587" s="41" t="s">
        <v>156</v>
      </c>
      <c r="E587" s="41" t="s">
        <v>157</v>
      </c>
      <c r="F587" s="41" t="s">
        <v>158</v>
      </c>
    </row>
    <row r="588" spans="1:6" ht="15.75" thickBot="1" x14ac:dyDescent="0.3">
      <c r="A588" s="39">
        <v>38984</v>
      </c>
      <c r="B588" s="40">
        <v>7358</v>
      </c>
      <c r="C588" s="41" t="s">
        <v>166</v>
      </c>
      <c r="D588" s="41" t="s">
        <v>161</v>
      </c>
      <c r="E588" s="41" t="s">
        <v>157</v>
      </c>
      <c r="F588" s="41" t="s">
        <v>158</v>
      </c>
    </row>
    <row r="589" spans="1:6" ht="15.75" thickBot="1" x14ac:dyDescent="0.3">
      <c r="A589" s="39">
        <v>38984</v>
      </c>
      <c r="B589" s="40">
        <v>7193</v>
      </c>
      <c r="C589" s="41" t="s">
        <v>163</v>
      </c>
      <c r="D589" s="41" t="s">
        <v>156</v>
      </c>
      <c r="E589" s="41" t="s">
        <v>169</v>
      </c>
      <c r="F589" s="41" t="s">
        <v>162</v>
      </c>
    </row>
    <row r="590" spans="1:6" ht="15.75" thickBot="1" x14ac:dyDescent="0.3">
      <c r="A590" s="39">
        <v>38984</v>
      </c>
      <c r="B590" s="40">
        <v>13596</v>
      </c>
      <c r="C590" s="41" t="s">
        <v>160</v>
      </c>
      <c r="D590" s="41" t="s">
        <v>156</v>
      </c>
      <c r="E590" s="41" t="s">
        <v>169</v>
      </c>
      <c r="F590" s="41" t="s">
        <v>162</v>
      </c>
    </row>
    <row r="591" spans="1:6" ht="15.75" thickBot="1" x14ac:dyDescent="0.3">
      <c r="A591" s="39">
        <v>38985</v>
      </c>
      <c r="B591" s="40">
        <v>3434</v>
      </c>
      <c r="C591" s="41" t="s">
        <v>163</v>
      </c>
      <c r="D591" s="41" t="s">
        <v>156</v>
      </c>
      <c r="E591" s="41" t="s">
        <v>157</v>
      </c>
      <c r="F591" s="41" t="s">
        <v>162</v>
      </c>
    </row>
    <row r="592" spans="1:6" ht="15.75" thickBot="1" x14ac:dyDescent="0.3">
      <c r="A592" s="39">
        <v>38985</v>
      </c>
      <c r="B592" s="40">
        <v>6000</v>
      </c>
      <c r="C592" s="41" t="s">
        <v>163</v>
      </c>
      <c r="D592" s="41" t="s">
        <v>161</v>
      </c>
      <c r="E592" s="41" t="s">
        <v>169</v>
      </c>
      <c r="F592" s="41" t="s">
        <v>158</v>
      </c>
    </row>
    <row r="593" spans="1:6" ht="15.75" thickBot="1" x14ac:dyDescent="0.3">
      <c r="A593" s="39">
        <v>38985</v>
      </c>
      <c r="B593" s="40">
        <v>7197</v>
      </c>
      <c r="C593" s="41" t="s">
        <v>163</v>
      </c>
      <c r="D593" s="41" t="s">
        <v>161</v>
      </c>
      <c r="E593" s="41" t="s">
        <v>157</v>
      </c>
      <c r="F593" s="41" t="s">
        <v>162</v>
      </c>
    </row>
    <row r="594" spans="1:6" ht="15.75" thickBot="1" x14ac:dyDescent="0.3">
      <c r="A594" s="39">
        <v>38985</v>
      </c>
      <c r="B594" s="40">
        <v>5445</v>
      </c>
      <c r="C594" s="41" t="s">
        <v>166</v>
      </c>
      <c r="D594" s="41" t="s">
        <v>156</v>
      </c>
      <c r="E594" s="41" t="s">
        <v>167</v>
      </c>
      <c r="F594" s="41" t="s">
        <v>158</v>
      </c>
    </row>
    <row r="595" spans="1:6" ht="15.75" thickBot="1" x14ac:dyDescent="0.3">
      <c r="A595" s="39">
        <v>38985</v>
      </c>
      <c r="B595" s="40">
        <v>12127</v>
      </c>
      <c r="C595" s="41" t="s">
        <v>160</v>
      </c>
      <c r="D595" s="41" t="s">
        <v>161</v>
      </c>
      <c r="E595" s="41" t="s">
        <v>157</v>
      </c>
      <c r="F595" s="41" t="s">
        <v>158</v>
      </c>
    </row>
    <row r="596" spans="1:6" ht="15.75" thickBot="1" x14ac:dyDescent="0.3">
      <c r="A596" s="39">
        <v>38985</v>
      </c>
      <c r="B596" s="40">
        <v>10322</v>
      </c>
      <c r="C596" s="41" t="s">
        <v>163</v>
      </c>
      <c r="D596" s="41" t="s">
        <v>161</v>
      </c>
      <c r="E596" s="41" t="s">
        <v>169</v>
      </c>
      <c r="F596" s="41" t="s">
        <v>162</v>
      </c>
    </row>
    <row r="597" spans="1:6" ht="15.75" thickBot="1" x14ac:dyDescent="0.3">
      <c r="A597" s="39">
        <v>38985</v>
      </c>
      <c r="B597" s="40">
        <v>4518</v>
      </c>
      <c r="C597" s="41" t="s">
        <v>160</v>
      </c>
      <c r="D597" s="41" t="s">
        <v>161</v>
      </c>
      <c r="E597" s="41" t="s">
        <v>157</v>
      </c>
      <c r="F597" s="41" t="s">
        <v>158</v>
      </c>
    </row>
    <row r="598" spans="1:6" ht="15.75" thickBot="1" x14ac:dyDescent="0.3">
      <c r="A598" s="39">
        <v>38985</v>
      </c>
      <c r="B598" s="40">
        <v>6762</v>
      </c>
      <c r="C598" s="41" t="s">
        <v>166</v>
      </c>
      <c r="D598" s="41" t="s">
        <v>156</v>
      </c>
      <c r="E598" s="41" t="s">
        <v>157</v>
      </c>
      <c r="F598" s="41" t="s">
        <v>158</v>
      </c>
    </row>
    <row r="599" spans="1:6" ht="15.75" thickBot="1" x14ac:dyDescent="0.3">
      <c r="A599" s="39">
        <v>38985</v>
      </c>
      <c r="B599" s="40">
        <v>15208</v>
      </c>
      <c r="C599" s="41" t="s">
        <v>160</v>
      </c>
      <c r="D599" s="41" t="s">
        <v>156</v>
      </c>
      <c r="E599" s="41" t="s">
        <v>157</v>
      </c>
      <c r="F599" s="41" t="s">
        <v>158</v>
      </c>
    </row>
    <row r="600" spans="1:6" ht="15.75" thickBot="1" x14ac:dyDescent="0.3">
      <c r="A600" s="39">
        <v>38985</v>
      </c>
      <c r="B600" s="40">
        <v>100</v>
      </c>
      <c r="C600" s="41" t="s">
        <v>163</v>
      </c>
      <c r="D600" s="41" t="s">
        <v>156</v>
      </c>
      <c r="E600" s="41" t="s">
        <v>157</v>
      </c>
      <c r="F600" s="41" t="s">
        <v>162</v>
      </c>
    </row>
    <row r="601" spans="1:6" ht="15.75" thickBot="1" x14ac:dyDescent="0.3">
      <c r="A601" s="39">
        <v>38985</v>
      </c>
      <c r="B601" s="40">
        <v>12505</v>
      </c>
      <c r="C601" s="41" t="s">
        <v>160</v>
      </c>
      <c r="D601" s="41" t="s">
        <v>156</v>
      </c>
      <c r="E601" s="41" t="s">
        <v>169</v>
      </c>
      <c r="F601" s="41" t="s">
        <v>158</v>
      </c>
    </row>
    <row r="602" spans="1:6" ht="15.75" thickBot="1" x14ac:dyDescent="0.3">
      <c r="A602" s="39">
        <v>38985</v>
      </c>
      <c r="B602" s="40">
        <v>12500</v>
      </c>
      <c r="C602" s="41" t="s">
        <v>160</v>
      </c>
      <c r="D602" s="41" t="s">
        <v>156</v>
      </c>
      <c r="E602" s="41" t="s">
        <v>167</v>
      </c>
      <c r="F602" s="41" t="s">
        <v>162</v>
      </c>
    </row>
    <row r="603" spans="1:6" ht="15.75" thickBot="1" x14ac:dyDescent="0.3">
      <c r="A603" s="39">
        <v>38985</v>
      </c>
      <c r="B603" s="40">
        <v>600</v>
      </c>
      <c r="C603" s="41" t="s">
        <v>166</v>
      </c>
      <c r="D603" s="41" t="s">
        <v>156</v>
      </c>
      <c r="E603" s="41" t="s">
        <v>157</v>
      </c>
      <c r="F603" s="41" t="s">
        <v>162</v>
      </c>
    </row>
    <row r="604" spans="1:6" ht="15.75" thickBot="1" x14ac:dyDescent="0.3">
      <c r="A604" s="39">
        <v>38985</v>
      </c>
      <c r="B604" s="40">
        <v>12455</v>
      </c>
      <c r="C604" s="41" t="s">
        <v>155</v>
      </c>
      <c r="D604" s="41" t="s">
        <v>161</v>
      </c>
      <c r="E604" s="41" t="s">
        <v>167</v>
      </c>
      <c r="F604" s="41" t="s">
        <v>158</v>
      </c>
    </row>
    <row r="605" spans="1:6" ht="15.75" thickBot="1" x14ac:dyDescent="0.3">
      <c r="A605" s="39">
        <v>38985</v>
      </c>
      <c r="B605" s="40">
        <v>10039</v>
      </c>
      <c r="C605" s="41" t="s">
        <v>166</v>
      </c>
      <c r="D605" s="41" t="s">
        <v>161</v>
      </c>
      <c r="E605" s="41" t="s">
        <v>169</v>
      </c>
      <c r="F605" s="41" t="s">
        <v>158</v>
      </c>
    </row>
    <row r="606" spans="1:6" ht="15.75" thickBot="1" x14ac:dyDescent="0.3">
      <c r="A606" s="39">
        <v>38985</v>
      </c>
      <c r="B606" s="40">
        <v>11439</v>
      </c>
      <c r="C606" s="41" t="s">
        <v>163</v>
      </c>
      <c r="D606" s="41" t="s">
        <v>156</v>
      </c>
      <c r="E606" s="41" t="s">
        <v>167</v>
      </c>
      <c r="F606" s="41" t="s">
        <v>158</v>
      </c>
    </row>
    <row r="607" spans="1:6" ht="15.75" thickBot="1" x14ac:dyDescent="0.3">
      <c r="A607" s="39">
        <v>38985</v>
      </c>
      <c r="B607" s="40">
        <v>1000</v>
      </c>
      <c r="C607" s="41" t="s">
        <v>163</v>
      </c>
      <c r="D607" s="41" t="s">
        <v>156</v>
      </c>
      <c r="E607" s="41" t="s">
        <v>157</v>
      </c>
      <c r="F607" s="41" t="s">
        <v>158</v>
      </c>
    </row>
    <row r="608" spans="1:6" ht="15.75" thickBot="1" x14ac:dyDescent="0.3">
      <c r="A608" s="39">
        <v>38985</v>
      </c>
      <c r="B608" s="40">
        <v>3714</v>
      </c>
      <c r="C608" s="41" t="s">
        <v>160</v>
      </c>
      <c r="D608" s="41" t="s">
        <v>156</v>
      </c>
      <c r="E608" s="41" t="s">
        <v>157</v>
      </c>
      <c r="F608" s="41" t="s">
        <v>162</v>
      </c>
    </row>
    <row r="609" spans="1:6" ht="15.75" thickBot="1" x14ac:dyDescent="0.3">
      <c r="A609" s="39">
        <v>38985</v>
      </c>
      <c r="B609" s="40">
        <v>100</v>
      </c>
      <c r="C609" s="41" t="s">
        <v>163</v>
      </c>
      <c r="D609" s="41" t="s">
        <v>156</v>
      </c>
      <c r="E609" s="41" t="s">
        <v>157</v>
      </c>
      <c r="F609" s="41" t="s">
        <v>158</v>
      </c>
    </row>
    <row r="610" spans="1:6" ht="15.75" thickBot="1" x14ac:dyDescent="0.3">
      <c r="A610" s="39">
        <v>38985</v>
      </c>
      <c r="B610" s="40">
        <v>6000</v>
      </c>
      <c r="C610" s="41" t="s">
        <v>163</v>
      </c>
      <c r="D610" s="41" t="s">
        <v>161</v>
      </c>
      <c r="E610" s="41" t="s">
        <v>169</v>
      </c>
      <c r="F610" s="41" t="s">
        <v>158</v>
      </c>
    </row>
    <row r="611" spans="1:6" ht="15.75" thickBot="1" x14ac:dyDescent="0.3">
      <c r="A611" s="39">
        <v>38985</v>
      </c>
      <c r="B611" s="40">
        <v>10351</v>
      </c>
      <c r="C611" s="41" t="s">
        <v>163</v>
      </c>
      <c r="D611" s="41" t="s">
        <v>161</v>
      </c>
      <c r="E611" s="41" t="s">
        <v>157</v>
      </c>
      <c r="F611" s="41" t="s">
        <v>162</v>
      </c>
    </row>
    <row r="612" spans="1:6" ht="15.75" thickBot="1" x14ac:dyDescent="0.3">
      <c r="A612" s="39">
        <v>38985</v>
      </c>
      <c r="B612" s="40">
        <v>12505</v>
      </c>
      <c r="C612" s="41" t="s">
        <v>160</v>
      </c>
      <c r="D612" s="41" t="s">
        <v>156</v>
      </c>
      <c r="E612" s="41" t="s">
        <v>169</v>
      </c>
      <c r="F612" s="41" t="s">
        <v>158</v>
      </c>
    </row>
    <row r="613" spans="1:6" ht="15.75" thickBot="1" x14ac:dyDescent="0.3">
      <c r="A613" s="39">
        <v>38985</v>
      </c>
      <c r="B613" s="40">
        <v>8894</v>
      </c>
      <c r="C613" s="41" t="s">
        <v>163</v>
      </c>
      <c r="D613" s="41" t="s">
        <v>156</v>
      </c>
      <c r="E613" s="41" t="s">
        <v>157</v>
      </c>
      <c r="F613" s="41" t="s">
        <v>158</v>
      </c>
    </row>
    <row r="614" spans="1:6" ht="15.75" thickBot="1" x14ac:dyDescent="0.3">
      <c r="A614" s="39">
        <v>38985</v>
      </c>
      <c r="B614" s="40">
        <v>50000</v>
      </c>
      <c r="C614" s="41" t="s">
        <v>160</v>
      </c>
      <c r="D614" s="41" t="s">
        <v>156</v>
      </c>
      <c r="E614" s="41" t="s">
        <v>167</v>
      </c>
      <c r="F614" s="41" t="s">
        <v>158</v>
      </c>
    </row>
    <row r="615" spans="1:6" ht="15.75" thickBot="1" x14ac:dyDescent="0.3">
      <c r="A615" s="39">
        <v>38985</v>
      </c>
      <c r="B615" s="40">
        <v>10000</v>
      </c>
      <c r="C615" s="41" t="s">
        <v>155</v>
      </c>
      <c r="D615" s="41" t="s">
        <v>161</v>
      </c>
      <c r="E615" s="41" t="s">
        <v>167</v>
      </c>
      <c r="F615" s="41" t="s">
        <v>158</v>
      </c>
    </row>
    <row r="616" spans="1:6" ht="15.75" thickBot="1" x14ac:dyDescent="0.3">
      <c r="A616" s="39">
        <v>38985</v>
      </c>
      <c r="B616" s="40">
        <v>13777</v>
      </c>
      <c r="C616" s="41" t="s">
        <v>163</v>
      </c>
      <c r="D616" s="41" t="s">
        <v>156</v>
      </c>
      <c r="E616" s="41" t="s">
        <v>157</v>
      </c>
      <c r="F616" s="41" t="s">
        <v>162</v>
      </c>
    </row>
    <row r="617" spans="1:6" ht="15.75" thickBot="1" x14ac:dyDescent="0.3">
      <c r="A617" s="39">
        <v>38985</v>
      </c>
      <c r="B617" s="40">
        <v>32000</v>
      </c>
      <c r="C617" s="41" t="s">
        <v>166</v>
      </c>
      <c r="D617" s="41" t="s">
        <v>156</v>
      </c>
      <c r="E617" s="41" t="s">
        <v>157</v>
      </c>
      <c r="F617" s="41" t="s">
        <v>162</v>
      </c>
    </row>
    <row r="618" spans="1:6" ht="15.75" thickBot="1" x14ac:dyDescent="0.3">
      <c r="A618" s="39">
        <v>38985</v>
      </c>
      <c r="B618" s="40">
        <v>1000</v>
      </c>
      <c r="C618" s="41" t="s">
        <v>163</v>
      </c>
      <c r="D618" s="41" t="s">
        <v>156</v>
      </c>
      <c r="E618" s="41" t="s">
        <v>157</v>
      </c>
      <c r="F618" s="41" t="s">
        <v>158</v>
      </c>
    </row>
    <row r="619" spans="1:6" ht="15.75" thickBot="1" x14ac:dyDescent="0.3">
      <c r="A619" s="39">
        <v>38985</v>
      </c>
      <c r="B619" s="40">
        <v>7955</v>
      </c>
      <c r="C619" s="41" t="s">
        <v>166</v>
      </c>
      <c r="D619" s="41" t="s">
        <v>156</v>
      </c>
      <c r="E619" s="41" t="s">
        <v>157</v>
      </c>
      <c r="F619" s="41" t="s">
        <v>158</v>
      </c>
    </row>
    <row r="620" spans="1:6" ht="15.75" thickBot="1" x14ac:dyDescent="0.3">
      <c r="A620" s="39">
        <v>38985</v>
      </c>
      <c r="B620" s="40">
        <v>14546</v>
      </c>
      <c r="C620" s="41" t="s">
        <v>166</v>
      </c>
      <c r="D620" s="41" t="s">
        <v>161</v>
      </c>
      <c r="E620" s="41" t="s">
        <v>157</v>
      </c>
      <c r="F620" s="41" t="s">
        <v>158</v>
      </c>
    </row>
    <row r="621" spans="1:6" ht="15.75" thickBot="1" x14ac:dyDescent="0.3">
      <c r="A621" s="39">
        <v>38985</v>
      </c>
      <c r="B621" s="40">
        <v>11901</v>
      </c>
      <c r="C621" s="41" t="s">
        <v>160</v>
      </c>
      <c r="D621" s="41" t="s">
        <v>161</v>
      </c>
      <c r="E621" s="41" t="s">
        <v>167</v>
      </c>
      <c r="F621" s="41" t="s">
        <v>162</v>
      </c>
    </row>
    <row r="622" spans="1:6" ht="15.75" thickBot="1" x14ac:dyDescent="0.3">
      <c r="A622" s="39">
        <v>38986</v>
      </c>
      <c r="B622" s="40">
        <v>25000</v>
      </c>
      <c r="C622" s="41" t="s">
        <v>160</v>
      </c>
      <c r="D622" s="41" t="s">
        <v>156</v>
      </c>
      <c r="E622" s="41" t="s">
        <v>169</v>
      </c>
      <c r="F622" s="41" t="s">
        <v>158</v>
      </c>
    </row>
    <row r="623" spans="1:6" ht="15.75" thickBot="1" x14ac:dyDescent="0.3">
      <c r="A623" s="39">
        <v>38986</v>
      </c>
      <c r="B623" s="40">
        <v>400</v>
      </c>
      <c r="C623" s="41" t="s">
        <v>163</v>
      </c>
      <c r="D623" s="41" t="s">
        <v>156</v>
      </c>
      <c r="E623" s="41" t="s">
        <v>157</v>
      </c>
      <c r="F623" s="41" t="s">
        <v>158</v>
      </c>
    </row>
    <row r="624" spans="1:6" ht="15.75" thickBot="1" x14ac:dyDescent="0.3">
      <c r="A624" s="39">
        <v>38986</v>
      </c>
      <c r="B624" s="40">
        <v>8312</v>
      </c>
      <c r="C624" s="41" t="s">
        <v>160</v>
      </c>
      <c r="D624" s="41" t="s">
        <v>156</v>
      </c>
      <c r="E624" s="41" t="s">
        <v>169</v>
      </c>
      <c r="F624" s="41" t="s">
        <v>162</v>
      </c>
    </row>
    <row r="625" spans="1:6" ht="15.75" thickBot="1" x14ac:dyDescent="0.3">
      <c r="A625" s="39">
        <v>38986</v>
      </c>
      <c r="B625" s="40">
        <v>1325</v>
      </c>
      <c r="C625" s="41" t="s">
        <v>163</v>
      </c>
      <c r="D625" s="41" t="s">
        <v>156</v>
      </c>
      <c r="E625" s="41" t="s">
        <v>157</v>
      </c>
      <c r="F625" s="41" t="s">
        <v>162</v>
      </c>
    </row>
    <row r="626" spans="1:6" ht="15.75" thickBot="1" x14ac:dyDescent="0.3">
      <c r="A626" s="39">
        <v>38986</v>
      </c>
      <c r="B626" s="40">
        <v>7874</v>
      </c>
      <c r="C626" s="41" t="s">
        <v>166</v>
      </c>
      <c r="D626" s="41" t="s">
        <v>161</v>
      </c>
      <c r="E626" s="41" t="s">
        <v>167</v>
      </c>
      <c r="F626" s="41" t="s">
        <v>162</v>
      </c>
    </row>
    <row r="627" spans="1:6" ht="15.75" thickBot="1" x14ac:dyDescent="0.3">
      <c r="A627" s="39">
        <v>38986</v>
      </c>
      <c r="B627" s="40">
        <v>17000</v>
      </c>
      <c r="C627" s="41" t="s">
        <v>160</v>
      </c>
      <c r="D627" s="41" t="s">
        <v>161</v>
      </c>
      <c r="E627" s="41" t="s">
        <v>157</v>
      </c>
      <c r="F627" s="41" t="s">
        <v>158</v>
      </c>
    </row>
    <row r="628" spans="1:6" ht="15.75" thickBot="1" x14ac:dyDescent="0.3">
      <c r="A628" s="39">
        <v>38986</v>
      </c>
      <c r="B628" s="40">
        <v>4307</v>
      </c>
      <c r="C628" s="41" t="s">
        <v>160</v>
      </c>
      <c r="D628" s="41" t="s">
        <v>156</v>
      </c>
      <c r="E628" s="41" t="s">
        <v>157</v>
      </c>
      <c r="F628" s="41" t="s">
        <v>162</v>
      </c>
    </row>
    <row r="629" spans="1:6" ht="15.75" thickBot="1" x14ac:dyDescent="0.3">
      <c r="A629" s="39">
        <v>38986</v>
      </c>
      <c r="B629" s="40">
        <v>3171</v>
      </c>
      <c r="C629" s="41" t="s">
        <v>163</v>
      </c>
      <c r="D629" s="41" t="s">
        <v>156</v>
      </c>
      <c r="E629" s="41" t="s">
        <v>169</v>
      </c>
      <c r="F629" s="41" t="s">
        <v>158</v>
      </c>
    </row>
    <row r="630" spans="1:6" ht="15.75" thickBot="1" x14ac:dyDescent="0.3">
      <c r="A630" s="39">
        <v>38986</v>
      </c>
      <c r="B630" s="40">
        <v>4384</v>
      </c>
      <c r="C630" s="41" t="s">
        <v>160</v>
      </c>
      <c r="D630" s="41" t="s">
        <v>161</v>
      </c>
      <c r="E630" s="41" t="s">
        <v>169</v>
      </c>
      <c r="F630" s="41" t="s">
        <v>158</v>
      </c>
    </row>
    <row r="631" spans="1:6" ht="15.75" thickBot="1" x14ac:dyDescent="0.3">
      <c r="A631" s="39">
        <v>38986</v>
      </c>
      <c r="B631" s="40">
        <v>9974</v>
      </c>
      <c r="C631" s="41" t="s">
        <v>160</v>
      </c>
      <c r="D631" s="41" t="s">
        <v>156</v>
      </c>
      <c r="E631" s="41" t="s">
        <v>169</v>
      </c>
      <c r="F631" s="41" t="s">
        <v>162</v>
      </c>
    </row>
    <row r="632" spans="1:6" ht="15.75" thickBot="1" x14ac:dyDescent="0.3">
      <c r="A632" s="39">
        <v>38986</v>
      </c>
      <c r="B632" s="40">
        <v>14348</v>
      </c>
      <c r="C632" s="41" t="s">
        <v>163</v>
      </c>
      <c r="D632" s="41" t="s">
        <v>156</v>
      </c>
      <c r="E632" s="41" t="s">
        <v>169</v>
      </c>
      <c r="F632" s="41" t="s">
        <v>162</v>
      </c>
    </row>
    <row r="633" spans="1:6" ht="15.75" thickBot="1" x14ac:dyDescent="0.3">
      <c r="A633" s="39">
        <v>38986</v>
      </c>
      <c r="B633" s="40">
        <v>12489</v>
      </c>
      <c r="C633" s="41" t="s">
        <v>163</v>
      </c>
      <c r="D633" s="41" t="s">
        <v>161</v>
      </c>
      <c r="E633" s="41" t="s">
        <v>169</v>
      </c>
      <c r="F633" s="41" t="s">
        <v>162</v>
      </c>
    </row>
    <row r="634" spans="1:6" ht="15.75" thickBot="1" x14ac:dyDescent="0.3">
      <c r="A634" s="39">
        <v>38986</v>
      </c>
      <c r="B634" s="40">
        <v>9632</v>
      </c>
      <c r="C634" s="41" t="s">
        <v>163</v>
      </c>
      <c r="D634" s="41" t="s">
        <v>161</v>
      </c>
      <c r="E634" s="41" t="s">
        <v>169</v>
      </c>
      <c r="F634" s="41" t="s">
        <v>162</v>
      </c>
    </row>
    <row r="635" spans="1:6" ht="15.75" thickBot="1" x14ac:dyDescent="0.3">
      <c r="A635" s="39">
        <v>38986</v>
      </c>
      <c r="B635" s="40">
        <v>250</v>
      </c>
      <c r="C635" s="41" t="s">
        <v>166</v>
      </c>
      <c r="D635" s="41" t="s">
        <v>156</v>
      </c>
      <c r="E635" s="41" t="s">
        <v>167</v>
      </c>
      <c r="F635" s="41" t="s">
        <v>158</v>
      </c>
    </row>
    <row r="636" spans="1:6" ht="15.75" thickBot="1" x14ac:dyDescent="0.3">
      <c r="A636" s="39">
        <v>38986</v>
      </c>
      <c r="B636" s="40">
        <v>4623</v>
      </c>
      <c r="C636" s="41" t="s">
        <v>166</v>
      </c>
      <c r="D636" s="41" t="s">
        <v>156</v>
      </c>
      <c r="E636" s="41" t="s">
        <v>167</v>
      </c>
      <c r="F636" s="41" t="s">
        <v>158</v>
      </c>
    </row>
    <row r="637" spans="1:6" ht="15.75" thickBot="1" x14ac:dyDescent="0.3">
      <c r="A637" s="39">
        <v>38986</v>
      </c>
      <c r="B637" s="40">
        <v>124</v>
      </c>
      <c r="C637" s="41" t="s">
        <v>163</v>
      </c>
      <c r="D637" s="41" t="s">
        <v>161</v>
      </c>
      <c r="E637" s="41" t="s">
        <v>157</v>
      </c>
      <c r="F637" s="41" t="s">
        <v>158</v>
      </c>
    </row>
    <row r="638" spans="1:6" ht="15.75" thickBot="1" x14ac:dyDescent="0.3">
      <c r="A638" s="39">
        <v>38986</v>
      </c>
      <c r="B638" s="40">
        <v>2000</v>
      </c>
      <c r="C638" s="41" t="s">
        <v>155</v>
      </c>
      <c r="D638" s="41" t="s">
        <v>156</v>
      </c>
      <c r="E638" s="41" t="s">
        <v>169</v>
      </c>
      <c r="F638" s="41" t="s">
        <v>158</v>
      </c>
    </row>
    <row r="639" spans="1:6" ht="15.75" thickBot="1" x14ac:dyDescent="0.3">
      <c r="A639" s="39">
        <v>38986</v>
      </c>
      <c r="B639" s="40">
        <v>400</v>
      </c>
      <c r="C639" s="41" t="s">
        <v>163</v>
      </c>
      <c r="D639" s="41" t="s">
        <v>161</v>
      </c>
      <c r="E639" s="41" t="s">
        <v>157</v>
      </c>
      <c r="F639" s="41" t="s">
        <v>158</v>
      </c>
    </row>
    <row r="640" spans="1:6" ht="15.75" thickBot="1" x14ac:dyDescent="0.3">
      <c r="A640" s="39">
        <v>38986</v>
      </c>
      <c r="B640" s="40">
        <v>13617</v>
      </c>
      <c r="C640" s="41" t="s">
        <v>166</v>
      </c>
      <c r="D640" s="41" t="s">
        <v>161</v>
      </c>
      <c r="E640" s="41" t="s">
        <v>157</v>
      </c>
      <c r="F640" s="41" t="s">
        <v>162</v>
      </c>
    </row>
    <row r="641" spans="1:6" ht="15.75" thickBot="1" x14ac:dyDescent="0.3">
      <c r="A641" s="39">
        <v>38986</v>
      </c>
      <c r="B641" s="40">
        <v>12887</v>
      </c>
      <c r="C641" s="41" t="s">
        <v>166</v>
      </c>
      <c r="D641" s="41" t="s">
        <v>161</v>
      </c>
      <c r="E641" s="41" t="s">
        <v>157</v>
      </c>
      <c r="F641" s="41" t="s">
        <v>162</v>
      </c>
    </row>
    <row r="642" spans="1:6" ht="15.75" thickBot="1" x14ac:dyDescent="0.3">
      <c r="A642" s="39">
        <v>38986</v>
      </c>
      <c r="B642" s="40">
        <v>5159</v>
      </c>
      <c r="C642" s="41" t="s">
        <v>166</v>
      </c>
      <c r="D642" s="41" t="s">
        <v>161</v>
      </c>
      <c r="E642" s="41" t="s">
        <v>167</v>
      </c>
      <c r="F642" s="41" t="s">
        <v>158</v>
      </c>
    </row>
    <row r="643" spans="1:6" ht="15.75" thickBot="1" x14ac:dyDescent="0.3">
      <c r="A643" s="39">
        <v>38986</v>
      </c>
      <c r="B643" s="40">
        <v>100</v>
      </c>
      <c r="C643" s="41" t="s">
        <v>163</v>
      </c>
      <c r="D643" s="41" t="s">
        <v>156</v>
      </c>
      <c r="E643" s="41" t="s">
        <v>157</v>
      </c>
      <c r="F643" s="41" t="s">
        <v>158</v>
      </c>
    </row>
    <row r="644" spans="1:6" ht="15.75" thickBot="1" x14ac:dyDescent="0.3">
      <c r="A644" s="39">
        <v>38986</v>
      </c>
      <c r="B644" s="40">
        <v>11134</v>
      </c>
      <c r="C644" s="41" t="s">
        <v>166</v>
      </c>
      <c r="D644" s="41" t="s">
        <v>156</v>
      </c>
      <c r="E644" s="41" t="s">
        <v>167</v>
      </c>
      <c r="F644" s="41" t="s">
        <v>158</v>
      </c>
    </row>
    <row r="645" spans="1:6" ht="15.75" thickBot="1" x14ac:dyDescent="0.3">
      <c r="A645" s="39">
        <v>38986</v>
      </c>
      <c r="B645" s="40">
        <v>5879</v>
      </c>
      <c r="C645" s="41" t="s">
        <v>163</v>
      </c>
      <c r="D645" s="41" t="s">
        <v>156</v>
      </c>
      <c r="E645" s="41" t="s">
        <v>157</v>
      </c>
      <c r="F645" s="41" t="s">
        <v>162</v>
      </c>
    </row>
    <row r="646" spans="1:6" ht="15.75" thickBot="1" x14ac:dyDescent="0.3">
      <c r="A646" s="39">
        <v>38986</v>
      </c>
      <c r="B646" s="40">
        <v>100</v>
      </c>
      <c r="C646" s="41" t="s">
        <v>163</v>
      </c>
      <c r="D646" s="41" t="s">
        <v>156</v>
      </c>
      <c r="E646" s="41" t="s">
        <v>157</v>
      </c>
      <c r="F646" s="41" t="s">
        <v>158</v>
      </c>
    </row>
    <row r="647" spans="1:6" ht="15.75" thickBot="1" x14ac:dyDescent="0.3">
      <c r="A647" s="39">
        <v>38986</v>
      </c>
      <c r="B647" s="40">
        <v>4000</v>
      </c>
      <c r="C647" s="41" t="s">
        <v>166</v>
      </c>
      <c r="D647" s="41" t="s">
        <v>156</v>
      </c>
      <c r="E647" s="41" t="s">
        <v>157</v>
      </c>
      <c r="F647" s="41" t="s">
        <v>162</v>
      </c>
    </row>
    <row r="648" spans="1:6" ht="15.75" thickBot="1" x14ac:dyDescent="0.3">
      <c r="A648" s="39">
        <v>38986</v>
      </c>
      <c r="B648" s="40">
        <v>5000</v>
      </c>
      <c r="C648" s="41" t="s">
        <v>166</v>
      </c>
      <c r="D648" s="41" t="s">
        <v>156</v>
      </c>
      <c r="E648" s="41" t="s">
        <v>169</v>
      </c>
      <c r="F648" s="41" t="s">
        <v>158</v>
      </c>
    </row>
    <row r="649" spans="1:6" ht="15.75" thickBot="1" x14ac:dyDescent="0.3">
      <c r="A649" s="39">
        <v>38986</v>
      </c>
      <c r="B649" s="40">
        <v>90000</v>
      </c>
      <c r="C649" s="41" t="s">
        <v>160</v>
      </c>
      <c r="D649" s="41" t="s">
        <v>156</v>
      </c>
      <c r="E649" s="41" t="s">
        <v>157</v>
      </c>
      <c r="F649" s="41" t="s">
        <v>158</v>
      </c>
    </row>
    <row r="650" spans="1:6" ht="15.75" thickBot="1" x14ac:dyDescent="0.3">
      <c r="A650" s="39">
        <v>38987</v>
      </c>
      <c r="B650" s="40">
        <v>12572</v>
      </c>
      <c r="C650" s="41" t="s">
        <v>166</v>
      </c>
      <c r="D650" s="41" t="s">
        <v>156</v>
      </c>
      <c r="E650" s="41" t="s">
        <v>167</v>
      </c>
      <c r="F650" s="41" t="s">
        <v>158</v>
      </c>
    </row>
    <row r="651" spans="1:6" ht="15.75" thickBot="1" x14ac:dyDescent="0.3">
      <c r="A651" s="39">
        <v>38987</v>
      </c>
      <c r="B651" s="40">
        <v>13428</v>
      </c>
      <c r="C651" s="41" t="s">
        <v>160</v>
      </c>
      <c r="D651" s="41" t="s">
        <v>161</v>
      </c>
      <c r="E651" s="41" t="s">
        <v>157</v>
      </c>
      <c r="F651" s="41" t="s">
        <v>158</v>
      </c>
    </row>
    <row r="652" spans="1:6" ht="15.75" thickBot="1" x14ac:dyDescent="0.3">
      <c r="A652" s="39">
        <v>38987</v>
      </c>
      <c r="B652" s="40">
        <v>1000</v>
      </c>
      <c r="C652" s="41" t="s">
        <v>163</v>
      </c>
      <c r="D652" s="41" t="s">
        <v>156</v>
      </c>
      <c r="E652" s="41" t="s">
        <v>167</v>
      </c>
      <c r="F652" s="41" t="s">
        <v>162</v>
      </c>
    </row>
    <row r="653" spans="1:6" ht="15.75" thickBot="1" x14ac:dyDescent="0.3">
      <c r="A653" s="39">
        <v>38987</v>
      </c>
      <c r="B653" s="40">
        <v>9405</v>
      </c>
      <c r="C653" s="41" t="s">
        <v>160</v>
      </c>
      <c r="D653" s="41" t="s">
        <v>156</v>
      </c>
      <c r="E653" s="41" t="s">
        <v>169</v>
      </c>
      <c r="F653" s="41" t="s">
        <v>158</v>
      </c>
    </row>
    <row r="654" spans="1:6" ht="15.75" thickBot="1" x14ac:dyDescent="0.3">
      <c r="A654" s="39">
        <v>38987</v>
      </c>
      <c r="B654" s="40">
        <v>7277</v>
      </c>
      <c r="C654" s="41" t="s">
        <v>155</v>
      </c>
      <c r="D654" s="41" t="s">
        <v>156</v>
      </c>
      <c r="E654" s="41" t="s">
        <v>167</v>
      </c>
      <c r="F654" s="41" t="s">
        <v>158</v>
      </c>
    </row>
    <row r="655" spans="1:6" ht="15.75" thickBot="1" x14ac:dyDescent="0.3">
      <c r="A655" s="39">
        <v>38987</v>
      </c>
      <c r="B655" s="40">
        <v>1000</v>
      </c>
      <c r="C655" s="41" t="s">
        <v>163</v>
      </c>
      <c r="D655" s="41" t="s">
        <v>156</v>
      </c>
      <c r="E655" s="41" t="s">
        <v>157</v>
      </c>
      <c r="F655" s="41" t="s">
        <v>158</v>
      </c>
    </row>
    <row r="656" spans="1:6" ht="15.75" thickBot="1" x14ac:dyDescent="0.3">
      <c r="A656" s="39">
        <v>38987</v>
      </c>
      <c r="B656" s="40">
        <v>3434</v>
      </c>
      <c r="C656" s="41" t="s">
        <v>163</v>
      </c>
      <c r="D656" s="41" t="s">
        <v>156</v>
      </c>
      <c r="E656" s="41" t="s">
        <v>157</v>
      </c>
      <c r="F656" s="41" t="s">
        <v>158</v>
      </c>
    </row>
    <row r="657" spans="1:6" ht="15.75" thickBot="1" x14ac:dyDescent="0.3">
      <c r="A657" s="39">
        <v>38987</v>
      </c>
      <c r="B657" s="40">
        <v>4566</v>
      </c>
      <c r="C657" s="41" t="s">
        <v>163</v>
      </c>
      <c r="D657" s="41" t="s">
        <v>161</v>
      </c>
      <c r="E657" s="41" t="s">
        <v>157</v>
      </c>
      <c r="F657" s="41" t="s">
        <v>162</v>
      </c>
    </row>
    <row r="658" spans="1:6" ht="15.75" thickBot="1" x14ac:dyDescent="0.3">
      <c r="A658" s="39">
        <v>38987</v>
      </c>
      <c r="B658" s="40">
        <v>100</v>
      </c>
      <c r="C658" s="41" t="s">
        <v>163</v>
      </c>
      <c r="D658" s="41" t="s">
        <v>156</v>
      </c>
      <c r="E658" s="41" t="s">
        <v>157</v>
      </c>
      <c r="F658" s="41" t="s">
        <v>158</v>
      </c>
    </row>
    <row r="659" spans="1:6" ht="15.75" thickBot="1" x14ac:dyDescent="0.3">
      <c r="A659" s="39">
        <v>38987</v>
      </c>
      <c r="B659" s="40">
        <v>5000</v>
      </c>
      <c r="C659" s="41" t="s">
        <v>166</v>
      </c>
      <c r="D659" s="41" t="s">
        <v>156</v>
      </c>
      <c r="E659" s="41" t="s">
        <v>169</v>
      </c>
      <c r="F659" s="41" t="s">
        <v>158</v>
      </c>
    </row>
    <row r="660" spans="1:6" ht="15.75" thickBot="1" x14ac:dyDescent="0.3">
      <c r="A660" s="39">
        <v>38987</v>
      </c>
      <c r="B660" s="40">
        <v>3900</v>
      </c>
      <c r="C660" s="41" t="s">
        <v>163</v>
      </c>
      <c r="D660" s="41" t="s">
        <v>161</v>
      </c>
      <c r="E660" s="41" t="s">
        <v>169</v>
      </c>
      <c r="F660" s="41" t="s">
        <v>162</v>
      </c>
    </row>
    <row r="661" spans="1:6" ht="15.75" thickBot="1" x14ac:dyDescent="0.3">
      <c r="A661" s="39">
        <v>38987</v>
      </c>
      <c r="B661" s="40">
        <v>13128</v>
      </c>
      <c r="C661" s="41" t="s">
        <v>166</v>
      </c>
      <c r="D661" s="41" t="s">
        <v>161</v>
      </c>
      <c r="E661" s="41" t="s">
        <v>167</v>
      </c>
      <c r="F661" s="41" t="s">
        <v>162</v>
      </c>
    </row>
    <row r="662" spans="1:6" ht="15.75" thickBot="1" x14ac:dyDescent="0.3">
      <c r="A662" s="39">
        <v>38987</v>
      </c>
      <c r="B662" s="40">
        <v>8264</v>
      </c>
      <c r="C662" s="41" t="s">
        <v>160</v>
      </c>
      <c r="D662" s="41" t="s">
        <v>161</v>
      </c>
      <c r="E662" s="41" t="s">
        <v>157</v>
      </c>
      <c r="F662" s="41" t="s">
        <v>158</v>
      </c>
    </row>
    <row r="663" spans="1:6" ht="15.75" thickBot="1" x14ac:dyDescent="0.3">
      <c r="A663" s="39">
        <v>38987</v>
      </c>
      <c r="B663" s="40">
        <v>6000</v>
      </c>
      <c r="C663" s="41" t="s">
        <v>163</v>
      </c>
      <c r="D663" s="41" t="s">
        <v>161</v>
      </c>
      <c r="E663" s="41" t="s">
        <v>169</v>
      </c>
      <c r="F663" s="41" t="s">
        <v>158</v>
      </c>
    </row>
    <row r="664" spans="1:6" ht="15.75" thickBot="1" x14ac:dyDescent="0.3">
      <c r="A664" s="39">
        <v>38987</v>
      </c>
      <c r="B664" s="40">
        <v>6662</v>
      </c>
      <c r="C664" s="41" t="s">
        <v>160</v>
      </c>
      <c r="D664" s="41" t="s">
        <v>161</v>
      </c>
      <c r="E664" s="41" t="s">
        <v>169</v>
      </c>
      <c r="F664" s="41" t="s">
        <v>158</v>
      </c>
    </row>
    <row r="665" spans="1:6" ht="15.75" thickBot="1" x14ac:dyDescent="0.3">
      <c r="A665" s="39">
        <v>38987</v>
      </c>
      <c r="B665" s="40">
        <v>9525</v>
      </c>
      <c r="C665" s="41" t="s">
        <v>166</v>
      </c>
      <c r="D665" s="41" t="s">
        <v>161</v>
      </c>
      <c r="E665" s="41" t="s">
        <v>167</v>
      </c>
      <c r="F665" s="41" t="s">
        <v>162</v>
      </c>
    </row>
    <row r="666" spans="1:6" ht="15.75" thickBot="1" x14ac:dyDescent="0.3">
      <c r="A666" s="39">
        <v>38987</v>
      </c>
      <c r="B666" s="40">
        <v>13462</v>
      </c>
      <c r="C666" s="41" t="s">
        <v>163</v>
      </c>
      <c r="D666" s="41" t="s">
        <v>161</v>
      </c>
      <c r="E666" s="41" t="s">
        <v>167</v>
      </c>
      <c r="F666" s="41" t="s">
        <v>162</v>
      </c>
    </row>
    <row r="667" spans="1:6" ht="15.75" thickBot="1" x14ac:dyDescent="0.3">
      <c r="A667" s="39">
        <v>38987</v>
      </c>
      <c r="B667" s="40">
        <v>12505</v>
      </c>
      <c r="C667" s="41" t="s">
        <v>160</v>
      </c>
      <c r="D667" s="41" t="s">
        <v>156</v>
      </c>
      <c r="E667" s="41" t="s">
        <v>169</v>
      </c>
      <c r="F667" s="41" t="s">
        <v>158</v>
      </c>
    </row>
    <row r="668" spans="1:6" ht="15.75" thickBot="1" x14ac:dyDescent="0.3">
      <c r="A668" s="39">
        <v>38987</v>
      </c>
      <c r="B668" s="40">
        <v>15000</v>
      </c>
      <c r="C668" s="41" t="s">
        <v>160</v>
      </c>
      <c r="D668" s="41" t="s">
        <v>156</v>
      </c>
      <c r="E668" s="41" t="s">
        <v>157</v>
      </c>
      <c r="F668" s="41" t="s">
        <v>158</v>
      </c>
    </row>
    <row r="669" spans="1:6" ht="15.75" thickBot="1" x14ac:dyDescent="0.3">
      <c r="A669" s="39">
        <v>38987</v>
      </c>
      <c r="B669" s="40">
        <v>15984</v>
      </c>
      <c r="C669" s="41" t="s">
        <v>166</v>
      </c>
      <c r="D669" s="41" t="s">
        <v>156</v>
      </c>
      <c r="E669" s="41" t="s">
        <v>167</v>
      </c>
      <c r="F669" s="41" t="s">
        <v>162</v>
      </c>
    </row>
    <row r="670" spans="1:6" ht="15.75" thickBot="1" x14ac:dyDescent="0.3">
      <c r="A670" s="39">
        <v>38987</v>
      </c>
      <c r="B670" s="40">
        <v>10587</v>
      </c>
      <c r="C670" s="41" t="s">
        <v>166</v>
      </c>
      <c r="D670" s="41" t="s">
        <v>156</v>
      </c>
      <c r="E670" s="41" t="s">
        <v>157</v>
      </c>
      <c r="F670" s="41" t="s">
        <v>162</v>
      </c>
    </row>
    <row r="671" spans="1:6" ht="15.75" thickBot="1" x14ac:dyDescent="0.3">
      <c r="A671" s="39">
        <v>38988</v>
      </c>
      <c r="B671" s="40">
        <v>1000</v>
      </c>
      <c r="C671" s="41" t="s">
        <v>163</v>
      </c>
      <c r="D671" s="41" t="s">
        <v>161</v>
      </c>
      <c r="E671" s="41" t="s">
        <v>169</v>
      </c>
      <c r="F671" s="41" t="s">
        <v>162</v>
      </c>
    </row>
    <row r="672" spans="1:6" ht="15.75" thickBot="1" x14ac:dyDescent="0.3">
      <c r="A672" s="39">
        <v>38988</v>
      </c>
      <c r="B672" s="40">
        <v>3539</v>
      </c>
      <c r="C672" s="41" t="s">
        <v>166</v>
      </c>
      <c r="D672" s="41" t="s">
        <v>156</v>
      </c>
      <c r="E672" s="41" t="s">
        <v>157</v>
      </c>
      <c r="F672" s="41" t="s">
        <v>158</v>
      </c>
    </row>
    <row r="673" spans="1:6" ht="15.75" thickBot="1" x14ac:dyDescent="0.3">
      <c r="A673" s="39">
        <v>38988</v>
      </c>
      <c r="B673" s="40">
        <v>10461</v>
      </c>
      <c r="C673" s="41" t="s">
        <v>166</v>
      </c>
      <c r="D673" s="41" t="s">
        <v>161</v>
      </c>
      <c r="E673" s="41" t="s">
        <v>167</v>
      </c>
      <c r="F673" s="41" t="s">
        <v>158</v>
      </c>
    </row>
    <row r="674" spans="1:6" ht="15.75" thickBot="1" x14ac:dyDescent="0.3">
      <c r="A674" s="39">
        <v>38988</v>
      </c>
      <c r="B674" s="40">
        <v>5879</v>
      </c>
      <c r="C674" s="41" t="s">
        <v>163</v>
      </c>
      <c r="D674" s="41" t="s">
        <v>156</v>
      </c>
      <c r="E674" s="41" t="s">
        <v>157</v>
      </c>
      <c r="F674" s="41" t="s">
        <v>162</v>
      </c>
    </row>
    <row r="675" spans="1:6" ht="15.75" thickBot="1" x14ac:dyDescent="0.3">
      <c r="A675" s="39">
        <v>38988</v>
      </c>
      <c r="B675" s="40">
        <v>2000</v>
      </c>
      <c r="C675" s="41" t="s">
        <v>155</v>
      </c>
      <c r="D675" s="41" t="s">
        <v>156</v>
      </c>
      <c r="E675" s="41" t="s">
        <v>169</v>
      </c>
      <c r="F675" s="41" t="s">
        <v>158</v>
      </c>
    </row>
    <row r="676" spans="1:6" ht="15.75" thickBot="1" x14ac:dyDescent="0.3">
      <c r="A676" s="39">
        <v>38988</v>
      </c>
      <c r="B676" s="40">
        <v>4000</v>
      </c>
      <c r="C676" s="41" t="s">
        <v>166</v>
      </c>
      <c r="D676" s="41" t="s">
        <v>156</v>
      </c>
      <c r="E676" s="41" t="s">
        <v>157</v>
      </c>
      <c r="F676" s="41" t="s">
        <v>162</v>
      </c>
    </row>
    <row r="677" spans="1:6" ht="15.75" thickBot="1" x14ac:dyDescent="0.3">
      <c r="A677" s="39">
        <v>38988</v>
      </c>
      <c r="B677" s="40">
        <v>7756</v>
      </c>
      <c r="C677" s="41" t="s">
        <v>160</v>
      </c>
      <c r="D677" s="41" t="s">
        <v>156</v>
      </c>
      <c r="E677" s="41" t="s">
        <v>167</v>
      </c>
      <c r="F677" s="41" t="s">
        <v>158</v>
      </c>
    </row>
    <row r="678" spans="1:6" ht="15.75" thickBot="1" x14ac:dyDescent="0.3">
      <c r="A678" s="39">
        <v>38988</v>
      </c>
      <c r="B678" s="40">
        <v>6314</v>
      </c>
      <c r="C678" s="41" t="s">
        <v>163</v>
      </c>
      <c r="D678" s="41" t="s">
        <v>161</v>
      </c>
      <c r="E678" s="41" t="s">
        <v>157</v>
      </c>
      <c r="F678" s="41" t="s">
        <v>158</v>
      </c>
    </row>
    <row r="679" spans="1:6" ht="15.75" thickBot="1" x14ac:dyDescent="0.3">
      <c r="A679" s="39">
        <v>38988</v>
      </c>
      <c r="B679" s="40">
        <v>9247</v>
      </c>
      <c r="C679" s="41" t="s">
        <v>166</v>
      </c>
      <c r="D679" s="41" t="s">
        <v>161</v>
      </c>
      <c r="E679" s="41" t="s">
        <v>157</v>
      </c>
      <c r="F679" s="41" t="s">
        <v>162</v>
      </c>
    </row>
    <row r="680" spans="1:6" ht="15.75" thickBot="1" x14ac:dyDescent="0.3">
      <c r="A680" s="39">
        <v>38988</v>
      </c>
      <c r="B680" s="40">
        <v>5302</v>
      </c>
      <c r="C680" s="41" t="s">
        <v>160</v>
      </c>
      <c r="D680" s="41" t="s">
        <v>161</v>
      </c>
      <c r="E680" s="41" t="s">
        <v>157</v>
      </c>
      <c r="F680" s="41" t="s">
        <v>158</v>
      </c>
    </row>
    <row r="681" spans="1:6" ht="15.75" thickBot="1" x14ac:dyDescent="0.3">
      <c r="A681" s="39">
        <v>38988</v>
      </c>
      <c r="B681" s="40">
        <v>14548</v>
      </c>
      <c r="C681" s="41" t="s">
        <v>160</v>
      </c>
      <c r="D681" s="41" t="s">
        <v>156</v>
      </c>
      <c r="E681" s="41" t="s">
        <v>157</v>
      </c>
      <c r="F681" s="41" t="s">
        <v>158</v>
      </c>
    </row>
    <row r="682" spans="1:6" ht="15.75" thickBot="1" x14ac:dyDescent="0.3">
      <c r="A682" s="39">
        <v>38988</v>
      </c>
      <c r="B682" s="40">
        <v>3171</v>
      </c>
      <c r="C682" s="41" t="s">
        <v>163</v>
      </c>
      <c r="D682" s="41" t="s">
        <v>156</v>
      </c>
      <c r="E682" s="41" t="s">
        <v>169</v>
      </c>
      <c r="F682" s="41" t="s">
        <v>158</v>
      </c>
    </row>
    <row r="683" spans="1:6" ht="15.75" thickBot="1" x14ac:dyDescent="0.3">
      <c r="A683" s="39">
        <v>38988</v>
      </c>
      <c r="B683" s="40">
        <v>25000</v>
      </c>
      <c r="C683" s="41" t="s">
        <v>166</v>
      </c>
      <c r="D683" s="41" t="s">
        <v>156</v>
      </c>
      <c r="E683" s="41" t="s">
        <v>167</v>
      </c>
      <c r="F683" s="41" t="s">
        <v>158</v>
      </c>
    </row>
    <row r="684" spans="1:6" ht="15.75" thickBot="1" x14ac:dyDescent="0.3">
      <c r="A684" s="39">
        <v>38988</v>
      </c>
      <c r="B684" s="40">
        <v>5957</v>
      </c>
      <c r="C684" s="41" t="s">
        <v>163</v>
      </c>
      <c r="D684" s="41" t="s">
        <v>161</v>
      </c>
      <c r="E684" s="41" t="s">
        <v>169</v>
      </c>
      <c r="F684" s="41" t="s">
        <v>162</v>
      </c>
    </row>
    <row r="685" spans="1:6" ht="15.75" thickBot="1" x14ac:dyDescent="0.3">
      <c r="A685" s="39">
        <v>38988</v>
      </c>
      <c r="B685" s="40">
        <v>4113</v>
      </c>
      <c r="C685" s="41" t="s">
        <v>166</v>
      </c>
      <c r="D685" s="41" t="s">
        <v>156</v>
      </c>
      <c r="E685" s="41" t="s">
        <v>157</v>
      </c>
      <c r="F685" s="41" t="s">
        <v>158</v>
      </c>
    </row>
    <row r="686" spans="1:6" ht="15.75" thickBot="1" x14ac:dyDescent="0.3">
      <c r="A686" s="39">
        <v>38988</v>
      </c>
      <c r="B686" s="40">
        <v>9010</v>
      </c>
      <c r="C686" s="41" t="s">
        <v>163</v>
      </c>
      <c r="D686" s="41" t="s">
        <v>161</v>
      </c>
      <c r="E686" s="41" t="s">
        <v>157</v>
      </c>
      <c r="F686" s="41" t="s">
        <v>162</v>
      </c>
    </row>
    <row r="687" spans="1:6" ht="15.75" thickBot="1" x14ac:dyDescent="0.3">
      <c r="A687" s="39">
        <v>38988</v>
      </c>
      <c r="B687" s="40">
        <v>240</v>
      </c>
      <c r="C687" s="41" t="s">
        <v>163</v>
      </c>
      <c r="D687" s="41" t="s">
        <v>156</v>
      </c>
      <c r="E687" s="41" t="s">
        <v>157</v>
      </c>
      <c r="F687" s="41" t="s">
        <v>158</v>
      </c>
    </row>
    <row r="688" spans="1:6" ht="15.75" thickBot="1" x14ac:dyDescent="0.3">
      <c r="A688" s="39">
        <v>38989</v>
      </c>
      <c r="B688" s="40">
        <v>124</v>
      </c>
      <c r="C688" s="41" t="s">
        <v>163</v>
      </c>
      <c r="D688" s="41" t="s">
        <v>161</v>
      </c>
      <c r="E688" s="41" t="s">
        <v>157</v>
      </c>
      <c r="F688" s="41" t="s">
        <v>158</v>
      </c>
    </row>
    <row r="689" spans="1:6" ht="15.75" thickBot="1" x14ac:dyDescent="0.3">
      <c r="A689" s="39">
        <v>38989</v>
      </c>
      <c r="B689" s="40">
        <v>11765</v>
      </c>
      <c r="C689" s="41" t="s">
        <v>166</v>
      </c>
      <c r="D689" s="41" t="s">
        <v>156</v>
      </c>
      <c r="E689" s="41" t="s">
        <v>157</v>
      </c>
      <c r="F689" s="41" t="s">
        <v>158</v>
      </c>
    </row>
    <row r="690" spans="1:6" ht="15.75" thickBot="1" x14ac:dyDescent="0.3">
      <c r="A690" s="39">
        <v>38989</v>
      </c>
      <c r="B690" s="40">
        <v>13583</v>
      </c>
      <c r="C690" s="41" t="s">
        <v>160</v>
      </c>
      <c r="D690" s="41" t="s">
        <v>161</v>
      </c>
      <c r="E690" s="41" t="s">
        <v>157</v>
      </c>
      <c r="F690" s="41" t="s">
        <v>162</v>
      </c>
    </row>
    <row r="691" spans="1:6" ht="15.75" thickBot="1" x14ac:dyDescent="0.3">
      <c r="A691" s="39">
        <v>38989</v>
      </c>
      <c r="B691" s="40">
        <v>10474</v>
      </c>
      <c r="C691" s="41" t="s">
        <v>160</v>
      </c>
      <c r="D691" s="41" t="s">
        <v>156</v>
      </c>
      <c r="E691" s="41" t="s">
        <v>157</v>
      </c>
      <c r="F691" s="41" t="s">
        <v>162</v>
      </c>
    </row>
    <row r="692" spans="1:6" ht="15.75" thickBot="1" x14ac:dyDescent="0.3">
      <c r="A692" s="39">
        <v>38989</v>
      </c>
      <c r="B692" s="40">
        <v>90000</v>
      </c>
      <c r="C692" s="41" t="s">
        <v>160</v>
      </c>
      <c r="D692" s="41" t="s">
        <v>156</v>
      </c>
      <c r="E692" s="41" t="s">
        <v>157</v>
      </c>
      <c r="F692" s="41" t="s">
        <v>158</v>
      </c>
    </row>
    <row r="693" spans="1:6" ht="15.75" thickBot="1" x14ac:dyDescent="0.3">
      <c r="A693" s="39">
        <v>38989</v>
      </c>
      <c r="B693" s="40">
        <v>13500</v>
      </c>
      <c r="C693" s="41" t="s">
        <v>160</v>
      </c>
      <c r="D693" s="41" t="s">
        <v>156</v>
      </c>
      <c r="E693" s="41" t="s">
        <v>167</v>
      </c>
      <c r="F693" s="41" t="s">
        <v>158</v>
      </c>
    </row>
    <row r="694" spans="1:6" ht="15.75" thickBot="1" x14ac:dyDescent="0.3">
      <c r="A694" s="39">
        <v>38989</v>
      </c>
      <c r="B694" s="40">
        <v>11000</v>
      </c>
      <c r="C694" s="41" t="s">
        <v>160</v>
      </c>
      <c r="D694" s="41" t="s">
        <v>156</v>
      </c>
      <c r="E694" s="41" t="s">
        <v>157</v>
      </c>
      <c r="F694" s="41" t="s">
        <v>162</v>
      </c>
    </row>
    <row r="695" spans="1:6" ht="15.75" thickBot="1" x14ac:dyDescent="0.3">
      <c r="A695" s="39">
        <v>38989</v>
      </c>
      <c r="B695" s="40">
        <v>4535</v>
      </c>
      <c r="C695" s="41" t="s">
        <v>163</v>
      </c>
      <c r="D695" s="41" t="s">
        <v>156</v>
      </c>
      <c r="E695" s="41" t="s">
        <v>167</v>
      </c>
      <c r="F695" s="41" t="s">
        <v>162</v>
      </c>
    </row>
    <row r="696" spans="1:6" ht="15.75" thickBot="1" x14ac:dyDescent="0.3">
      <c r="A696" s="39">
        <v>38989</v>
      </c>
      <c r="B696" s="40">
        <v>12000</v>
      </c>
      <c r="C696" s="41" t="s">
        <v>163</v>
      </c>
      <c r="D696" s="41" t="s">
        <v>156</v>
      </c>
      <c r="E696" s="41" t="s">
        <v>157</v>
      </c>
      <c r="F696" s="41" t="s">
        <v>158</v>
      </c>
    </row>
    <row r="697" spans="1:6" ht="15.75" thickBot="1" x14ac:dyDescent="0.3">
      <c r="A697" s="39">
        <v>38989</v>
      </c>
      <c r="B697" s="40">
        <v>2000</v>
      </c>
      <c r="C697" s="41" t="s">
        <v>160</v>
      </c>
      <c r="D697" s="41" t="s">
        <v>156</v>
      </c>
      <c r="E697" s="41" t="s">
        <v>157</v>
      </c>
      <c r="F697" s="41" t="s">
        <v>162</v>
      </c>
    </row>
    <row r="698" spans="1:6" ht="15.75" thickBot="1" x14ac:dyDescent="0.3">
      <c r="A698" s="39">
        <v>38989</v>
      </c>
      <c r="B698" s="40">
        <v>14644</v>
      </c>
      <c r="C698" s="41" t="s">
        <v>160</v>
      </c>
      <c r="D698" s="41" t="s">
        <v>156</v>
      </c>
      <c r="E698" s="41" t="s">
        <v>169</v>
      </c>
      <c r="F698" s="41" t="s">
        <v>162</v>
      </c>
    </row>
    <row r="699" spans="1:6" ht="15.75" thickBot="1" x14ac:dyDescent="0.3">
      <c r="A699" s="39">
        <v>38989</v>
      </c>
      <c r="B699" s="40">
        <v>1946</v>
      </c>
      <c r="C699" s="41" t="s">
        <v>163</v>
      </c>
      <c r="D699" s="41" t="s">
        <v>156</v>
      </c>
      <c r="E699" s="41" t="s">
        <v>157</v>
      </c>
      <c r="F699" s="41" t="s">
        <v>162</v>
      </c>
    </row>
    <row r="700" spans="1:6" ht="15.75" thickBot="1" x14ac:dyDescent="0.3">
      <c r="A700" s="39">
        <v>38989</v>
      </c>
      <c r="B700" s="40">
        <v>9113</v>
      </c>
      <c r="C700" s="41" t="s">
        <v>160</v>
      </c>
      <c r="D700" s="41" t="s">
        <v>161</v>
      </c>
      <c r="E700" s="41" t="s">
        <v>157</v>
      </c>
      <c r="F700" s="41" t="s">
        <v>158</v>
      </c>
    </row>
    <row r="701" spans="1:6" ht="15.75" thickBot="1" x14ac:dyDescent="0.3">
      <c r="A701" s="39">
        <v>38989</v>
      </c>
      <c r="B701" s="40">
        <v>1946</v>
      </c>
      <c r="C701" s="41" t="s">
        <v>163</v>
      </c>
      <c r="D701" s="41" t="s">
        <v>156</v>
      </c>
      <c r="E701" s="41" t="s">
        <v>157</v>
      </c>
      <c r="F701" s="41" t="s">
        <v>158</v>
      </c>
    </row>
    <row r="702" spans="1:6" ht="15.75" thickBot="1" x14ac:dyDescent="0.3">
      <c r="A702" s="39">
        <v>38989</v>
      </c>
      <c r="B702" s="40">
        <v>3728</v>
      </c>
      <c r="C702" s="41" t="s">
        <v>163</v>
      </c>
      <c r="D702" s="41" t="s">
        <v>161</v>
      </c>
      <c r="E702" s="41" t="s">
        <v>157</v>
      </c>
      <c r="F702" s="41" t="s">
        <v>158</v>
      </c>
    </row>
    <row r="703" spans="1:6" ht="15.75" thickBot="1" x14ac:dyDescent="0.3">
      <c r="A703" s="39">
        <v>38989</v>
      </c>
      <c r="B703" s="40">
        <v>4535</v>
      </c>
      <c r="C703" s="41" t="s">
        <v>163</v>
      </c>
      <c r="D703" s="41" t="s">
        <v>156</v>
      </c>
      <c r="E703" s="41" t="s">
        <v>167</v>
      </c>
      <c r="F703" s="41" t="s">
        <v>158</v>
      </c>
    </row>
    <row r="704" spans="1:6" ht="15.75" thickBot="1" x14ac:dyDescent="0.3">
      <c r="A704" s="39">
        <v>38989</v>
      </c>
      <c r="B704" s="40">
        <v>4785</v>
      </c>
      <c r="C704" s="41" t="s">
        <v>166</v>
      </c>
      <c r="D704" s="41" t="s">
        <v>161</v>
      </c>
      <c r="E704" s="41" t="s">
        <v>169</v>
      </c>
      <c r="F704" s="41" t="s">
        <v>162</v>
      </c>
    </row>
    <row r="705" spans="1:6" ht="15.75" thickBot="1" x14ac:dyDescent="0.3">
      <c r="A705" s="39">
        <v>38989</v>
      </c>
      <c r="B705" s="40">
        <v>100</v>
      </c>
      <c r="C705" s="41" t="s">
        <v>163</v>
      </c>
      <c r="D705" s="41" t="s">
        <v>156</v>
      </c>
      <c r="E705" s="41" t="s">
        <v>157</v>
      </c>
      <c r="F705" s="41" t="s">
        <v>158</v>
      </c>
    </row>
    <row r="706" spans="1:6" ht="15.75" thickBot="1" x14ac:dyDescent="0.3">
      <c r="A706" s="39">
        <v>38989</v>
      </c>
      <c r="B706" s="40">
        <v>1000</v>
      </c>
      <c r="C706" s="41" t="s">
        <v>163</v>
      </c>
      <c r="D706" s="41" t="s">
        <v>156</v>
      </c>
      <c r="E706" s="41" t="s">
        <v>157</v>
      </c>
      <c r="F706" s="41" t="s">
        <v>158</v>
      </c>
    </row>
    <row r="707" spans="1:6" ht="15.75" thickBot="1" x14ac:dyDescent="0.3">
      <c r="A707" s="39">
        <v>38989</v>
      </c>
      <c r="B707" s="40">
        <v>11632</v>
      </c>
      <c r="C707" s="41" t="s">
        <v>163</v>
      </c>
      <c r="D707" s="41" t="s">
        <v>156</v>
      </c>
      <c r="E707" s="41" t="s">
        <v>157</v>
      </c>
      <c r="F707" s="41" t="s">
        <v>158</v>
      </c>
    </row>
    <row r="708" spans="1:6" ht="15.75" thickBot="1" x14ac:dyDescent="0.3">
      <c r="A708" s="39">
        <v>38989</v>
      </c>
      <c r="B708" s="40">
        <v>6144</v>
      </c>
      <c r="C708" s="41" t="s">
        <v>160</v>
      </c>
      <c r="D708" s="41" t="s">
        <v>161</v>
      </c>
      <c r="E708" s="41" t="s">
        <v>157</v>
      </c>
      <c r="F708" s="41" t="s">
        <v>162</v>
      </c>
    </row>
    <row r="709" spans="1:6" ht="15.75" thickBot="1" x14ac:dyDescent="0.3">
      <c r="A709" s="39">
        <v>38989</v>
      </c>
      <c r="B709" s="40">
        <v>7000</v>
      </c>
      <c r="C709" s="41" t="s">
        <v>155</v>
      </c>
      <c r="D709" s="41" t="s">
        <v>156</v>
      </c>
      <c r="E709" s="41" t="s">
        <v>167</v>
      </c>
      <c r="F709" s="41" t="s">
        <v>158</v>
      </c>
    </row>
    <row r="710" spans="1:6" ht="15.75" thickBot="1" x14ac:dyDescent="0.3">
      <c r="A710" s="39">
        <v>38989</v>
      </c>
      <c r="B710" s="40">
        <v>4257</v>
      </c>
      <c r="C710" s="41" t="s">
        <v>166</v>
      </c>
      <c r="D710" s="41" t="s">
        <v>156</v>
      </c>
      <c r="E710" s="41" t="s">
        <v>169</v>
      </c>
      <c r="F710" s="41" t="s">
        <v>158</v>
      </c>
    </row>
    <row r="711" spans="1:6" ht="15.75" thickBot="1" x14ac:dyDescent="0.3">
      <c r="A711" s="39">
        <v>38989</v>
      </c>
      <c r="B711" s="40">
        <v>400</v>
      </c>
      <c r="C711" s="41" t="s">
        <v>163</v>
      </c>
      <c r="D711" s="41" t="s">
        <v>161</v>
      </c>
      <c r="E711" s="41" t="s">
        <v>157</v>
      </c>
      <c r="F711" s="41" t="s">
        <v>158</v>
      </c>
    </row>
    <row r="712" spans="1:6" ht="15.75" thickBot="1" x14ac:dyDescent="0.3">
      <c r="A712" s="39">
        <v>38989</v>
      </c>
      <c r="B712" s="40">
        <v>12673</v>
      </c>
      <c r="C712" s="41" t="s">
        <v>163</v>
      </c>
      <c r="D712" s="41" t="s">
        <v>156</v>
      </c>
      <c r="E712" s="41" t="s">
        <v>169</v>
      </c>
      <c r="F712" s="41" t="s">
        <v>162</v>
      </c>
    </row>
    <row r="713" spans="1:6" ht="15.75" thickBot="1" x14ac:dyDescent="0.3">
      <c r="A713" s="39">
        <v>38989</v>
      </c>
      <c r="B713" s="40">
        <v>4000</v>
      </c>
      <c r="C713" s="41" t="s">
        <v>163</v>
      </c>
      <c r="D713" s="41" t="s">
        <v>161</v>
      </c>
      <c r="E713" s="41" t="s">
        <v>167</v>
      </c>
      <c r="F713" s="41" t="s">
        <v>158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E0732-2F93-4057-8B9A-696A7FFF7502}">
  <dimension ref="A1:U5"/>
  <sheetViews>
    <sheetView showGridLines="0" topLeftCell="B1" workbookViewId="0">
      <selection activeCell="D5" sqref="D5"/>
    </sheetView>
  </sheetViews>
  <sheetFormatPr defaultRowHeight="15" x14ac:dyDescent="0.25"/>
  <cols>
    <col min="1" max="1" width="14.85546875" customWidth="1"/>
  </cols>
  <sheetData>
    <row r="1" spans="1:21" x14ac:dyDescent="0.25">
      <c r="A1" s="44" t="s">
        <v>173</v>
      </c>
    </row>
    <row r="3" spans="1:21" ht="36" customHeight="1" x14ac:dyDescent="0.25">
      <c r="A3" s="45" t="s">
        <v>174</v>
      </c>
      <c r="B3" s="3">
        <v>1</v>
      </c>
      <c r="C3" s="3">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row>
    <row r="4" spans="1:21" x14ac:dyDescent="0.25">
      <c r="A4" s="46" t="s">
        <v>175</v>
      </c>
      <c r="B4" s="47">
        <v>-1266.4100000000001</v>
      </c>
      <c r="C4" s="47">
        <v>-1266.4100000000001</v>
      </c>
      <c r="D4" s="47">
        <v>-6090</v>
      </c>
      <c r="E4" s="47">
        <v>-1266.4100000000001</v>
      </c>
      <c r="F4" s="47">
        <v>-1266.4100000000001</v>
      </c>
      <c r="G4" s="47">
        <v>-9839</v>
      </c>
      <c r="H4" s="47">
        <v>-1266.4100000000001</v>
      </c>
      <c r="I4" s="47">
        <v>-1266.4100000000001</v>
      </c>
      <c r="J4" s="47">
        <v>-3489</v>
      </c>
      <c r="K4" s="47">
        <v>-1266.4100000000001</v>
      </c>
      <c r="L4" s="47">
        <v>-1266.4100000000001</v>
      </c>
      <c r="M4" s="47">
        <v>-1266.4100000000001</v>
      </c>
      <c r="N4" s="47">
        <v>-1266.4100000000001</v>
      </c>
      <c r="O4" s="47">
        <v>-1266.4100000000001</v>
      </c>
      <c r="P4" s="47">
        <v>-1266.4100000000001</v>
      </c>
      <c r="Q4" s="47">
        <v>-1266.4100000000001</v>
      </c>
      <c r="R4" s="47">
        <v>-1266.4100000000001</v>
      </c>
      <c r="S4" s="47">
        <v>-1266.4100000000001</v>
      </c>
      <c r="T4" s="47">
        <v>-1266.4100000000001</v>
      </c>
      <c r="U4" s="47">
        <v>-1266.4100000000001</v>
      </c>
    </row>
    <row r="5" spans="1:21" ht="26.25" x14ac:dyDescent="0.25">
      <c r="A5" s="46" t="s">
        <v>176</v>
      </c>
      <c r="B5" s="47">
        <v>-1266.4100000000001</v>
      </c>
      <c r="C5" s="48">
        <f>B4+C4</f>
        <v>-2532.8200000000002</v>
      </c>
      <c r="D5" s="48">
        <f>B4+C4+D4</f>
        <v>-8622.82</v>
      </c>
      <c r="E5" s="48">
        <f>B4+C4+D4+E4</f>
        <v>-9889.23</v>
      </c>
      <c r="F5" s="48">
        <f>B4+C4+D4+E4+F4</f>
        <v>-11155.64</v>
      </c>
      <c r="G5" s="48">
        <f t="shared" ref="G5:U5" si="0">F5+G4</f>
        <v>-20994.639999999999</v>
      </c>
      <c r="H5" s="48">
        <f t="shared" si="0"/>
        <v>-22261.05</v>
      </c>
      <c r="I5" s="48">
        <f t="shared" si="0"/>
        <v>-23527.46</v>
      </c>
      <c r="J5" s="48">
        <f t="shared" si="0"/>
        <v>-27016.46</v>
      </c>
      <c r="K5" s="48">
        <f t="shared" si="0"/>
        <v>-28282.87</v>
      </c>
      <c r="L5" s="48">
        <f t="shared" si="0"/>
        <v>-29549.279999999999</v>
      </c>
      <c r="M5" s="48">
        <f t="shared" si="0"/>
        <v>-30815.69</v>
      </c>
      <c r="N5" s="48">
        <f t="shared" si="0"/>
        <v>-32082.1</v>
      </c>
      <c r="O5" s="48">
        <f t="shared" si="0"/>
        <v>-33348.51</v>
      </c>
      <c r="P5" s="48">
        <f t="shared" si="0"/>
        <v>-34614.920000000006</v>
      </c>
      <c r="Q5" s="48">
        <f t="shared" si="0"/>
        <v>-35881.330000000009</v>
      </c>
      <c r="R5" s="48">
        <f t="shared" si="0"/>
        <v>-37147.740000000013</v>
      </c>
      <c r="S5" s="48">
        <f t="shared" si="0"/>
        <v>-38414.150000000016</v>
      </c>
      <c r="T5" s="48">
        <f t="shared" si="0"/>
        <v>-39680.560000000019</v>
      </c>
      <c r="U5" s="48">
        <f t="shared" si="0"/>
        <v>-40946.970000000023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0B8B-2D07-4CF6-88E0-34771BDF5397}">
  <dimension ref="A1:M20"/>
  <sheetViews>
    <sheetView showGridLines="0" workbookViewId="0">
      <selection activeCell="A2" sqref="A2"/>
    </sheetView>
  </sheetViews>
  <sheetFormatPr defaultRowHeight="15" x14ac:dyDescent="0.25"/>
  <cols>
    <col min="13" max="13" width="14.5703125" customWidth="1"/>
  </cols>
  <sheetData>
    <row r="1" spans="1:13" x14ac:dyDescent="0.25">
      <c r="A1" s="1">
        <v>100</v>
      </c>
      <c r="F1" s="68" t="s">
        <v>177</v>
      </c>
      <c r="G1" s="68"/>
      <c r="H1" s="68"/>
      <c r="I1" s="68"/>
      <c r="J1" s="68"/>
      <c r="K1" s="68"/>
      <c r="L1" s="68"/>
      <c r="M1" s="68"/>
    </row>
    <row r="2" spans="1:13" x14ac:dyDescent="0.25">
      <c r="A2" s="1"/>
      <c r="F2" s="68"/>
      <c r="G2" s="68"/>
      <c r="H2" s="68"/>
      <c r="I2" s="68"/>
      <c r="J2" s="68"/>
      <c r="K2" s="68"/>
      <c r="L2" s="68"/>
      <c r="M2" s="68"/>
    </row>
    <row r="3" spans="1:13" x14ac:dyDescent="0.25">
      <c r="A3" s="1"/>
    </row>
    <row r="4" spans="1:13" x14ac:dyDescent="0.25">
      <c r="A4" s="1"/>
    </row>
    <row r="5" spans="1:13" x14ac:dyDescent="0.25">
      <c r="A5" s="1"/>
    </row>
    <row r="6" spans="1:13" x14ac:dyDescent="0.25">
      <c r="A6" s="1"/>
    </row>
    <row r="7" spans="1:13" x14ac:dyDescent="0.25">
      <c r="A7" s="1"/>
    </row>
    <row r="8" spans="1:13" x14ac:dyDescent="0.25">
      <c r="A8" s="1"/>
    </row>
    <row r="9" spans="1:13" x14ac:dyDescent="0.25">
      <c r="A9" s="1"/>
    </row>
    <row r="10" spans="1:13" x14ac:dyDescent="0.25">
      <c r="A10" s="1"/>
    </row>
    <row r="11" spans="1:13" x14ac:dyDescent="0.25">
      <c r="A11" s="1"/>
    </row>
    <row r="12" spans="1:13" x14ac:dyDescent="0.25">
      <c r="A12" s="1"/>
    </row>
    <row r="13" spans="1:13" x14ac:dyDescent="0.25">
      <c r="A13" s="1"/>
    </row>
    <row r="14" spans="1:13" x14ac:dyDescent="0.25">
      <c r="A14" s="1"/>
    </row>
    <row r="15" spans="1:13" x14ac:dyDescent="0.25">
      <c r="A15" s="1"/>
    </row>
    <row r="16" spans="1:13" x14ac:dyDescent="0.25">
      <c r="A16" s="1"/>
    </row>
    <row r="17" spans="1:1" x14ac:dyDescent="0.25">
      <c r="A17" s="1"/>
    </row>
    <row r="18" spans="1:1" x14ac:dyDescent="0.25">
      <c r="A18" s="1"/>
    </row>
    <row r="19" spans="1:1" x14ac:dyDescent="0.25">
      <c r="A19" s="1"/>
    </row>
    <row r="20" spans="1:1" x14ac:dyDescent="0.25">
      <c r="A20" s="1"/>
    </row>
  </sheetData>
  <mergeCells count="1">
    <mergeCell ref="F1:M2"/>
  </mergeCells>
  <dataValidations count="1">
    <dataValidation type="custom" allowBlank="1" showInputMessage="1" showErrorMessage="1" errorTitle="error" error="Duplicate value is not Allow" sqref="A1:A1048576" xr:uid="{2A26F82E-70FB-46F2-9FF6-DE8019B41930}">
      <formula1>AND(ISNUMBER(A1),A1&gt;=100,A1&lt;=300,COUNTIF($A$1:$A$20,A1)=1)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2DB9-B4C9-4DDD-A021-42A538C340BB}">
  <dimension ref="A1:N184"/>
  <sheetViews>
    <sheetView showGridLines="0" tabSelected="1" topLeftCell="A65" workbookViewId="0">
      <selection activeCell="H78" sqref="H78"/>
    </sheetView>
  </sheetViews>
  <sheetFormatPr defaultRowHeight="15" x14ac:dyDescent="0.25"/>
  <cols>
    <col min="2" max="2" width="23.42578125" customWidth="1"/>
    <col min="3" max="3" width="15.85546875" bestFit="1" customWidth="1"/>
    <col min="4" max="4" width="16.85546875" customWidth="1"/>
    <col min="5" max="5" width="30.28515625" customWidth="1"/>
    <col min="6" max="6" width="14" bestFit="1" customWidth="1"/>
    <col min="7" max="7" width="13" customWidth="1"/>
    <col min="8" max="8" width="12.42578125" customWidth="1"/>
    <col min="9" max="9" width="13.7109375" customWidth="1"/>
    <col min="10" max="10" width="12.42578125" customWidth="1"/>
    <col min="13" max="13" width="11" customWidth="1"/>
  </cols>
  <sheetData>
    <row r="1" spans="1:10" x14ac:dyDescent="0.25">
      <c r="A1" s="49" t="s">
        <v>178</v>
      </c>
      <c r="B1" s="49" t="s">
        <v>179</v>
      </c>
      <c r="C1" s="49"/>
      <c r="D1" s="49"/>
      <c r="E1" s="49"/>
      <c r="F1" s="49"/>
      <c r="G1" s="49"/>
      <c r="H1" s="49"/>
      <c r="I1" s="49"/>
    </row>
    <row r="3" spans="1:10" x14ac:dyDescent="0.25">
      <c r="B3" s="3">
        <v>56</v>
      </c>
      <c r="C3" s="3">
        <v>53</v>
      </c>
      <c r="D3" s="3"/>
      <c r="E3" s="3">
        <v>30</v>
      </c>
      <c r="F3" s="3"/>
      <c r="G3" s="3">
        <v>99</v>
      </c>
    </row>
    <row r="4" spans="1:10" x14ac:dyDescent="0.25">
      <c r="B4" s="3">
        <v>67</v>
      </c>
      <c r="C4" s="3"/>
      <c r="D4" s="3">
        <v>44</v>
      </c>
      <c r="E4" s="3"/>
      <c r="F4" s="3"/>
      <c r="G4" s="3">
        <v>31</v>
      </c>
    </row>
    <row r="5" spans="1:10" x14ac:dyDescent="0.25">
      <c r="B5" s="3"/>
      <c r="C5" s="3">
        <v>17</v>
      </c>
      <c r="D5" s="3"/>
      <c r="E5" s="3">
        <v>66</v>
      </c>
      <c r="F5" s="3">
        <v>12</v>
      </c>
      <c r="G5" s="3" t="s">
        <v>269</v>
      </c>
    </row>
    <row r="6" spans="1:10" x14ac:dyDescent="0.25">
      <c r="B6" s="3"/>
      <c r="C6" s="3"/>
      <c r="D6" s="3">
        <v>38</v>
      </c>
      <c r="E6" s="3">
        <v>44</v>
      </c>
      <c r="F6" s="3"/>
      <c r="G6" s="3">
        <v>43</v>
      </c>
    </row>
    <row r="7" spans="1:10" x14ac:dyDescent="0.25">
      <c r="B7" s="3">
        <v>13</v>
      </c>
      <c r="C7" s="3">
        <v>86</v>
      </c>
      <c r="D7" s="3">
        <v>94</v>
      </c>
      <c r="E7" s="3"/>
      <c r="F7" s="3">
        <v>98</v>
      </c>
      <c r="G7" s="3">
        <v>37</v>
      </c>
    </row>
    <row r="8" spans="1:10" x14ac:dyDescent="0.25">
      <c r="B8" s="3"/>
      <c r="C8" s="3">
        <v>74</v>
      </c>
      <c r="D8" s="3"/>
      <c r="E8" s="3">
        <v>36</v>
      </c>
      <c r="F8" s="3">
        <v>32</v>
      </c>
      <c r="G8" s="3"/>
    </row>
    <row r="9" spans="1:10" x14ac:dyDescent="0.25">
      <c r="B9" s="3">
        <v>26</v>
      </c>
      <c r="C9" s="3">
        <v>38</v>
      </c>
      <c r="D9" s="3"/>
      <c r="E9" s="3">
        <v>35</v>
      </c>
      <c r="F9" s="3"/>
      <c r="G9" s="3">
        <v>93</v>
      </c>
    </row>
    <row r="10" spans="1:10" ht="15.75" thickBot="1" x14ac:dyDescent="0.3"/>
    <row r="11" spans="1:10" ht="15.75" thickBot="1" x14ac:dyDescent="0.3">
      <c r="A11" t="s">
        <v>180</v>
      </c>
      <c r="B11" s="65" t="s">
        <v>271</v>
      </c>
      <c r="C11" s="50"/>
      <c r="D11" s="50"/>
      <c r="E11" s="50"/>
      <c r="F11" s="50"/>
      <c r="G11" s="50"/>
      <c r="H11" s="50"/>
      <c r="I11" s="50"/>
      <c r="J11" s="50"/>
    </row>
    <row r="13" spans="1:10" x14ac:dyDescent="0.25">
      <c r="A13" s="49" t="s">
        <v>181</v>
      </c>
      <c r="B13" s="49" t="s">
        <v>182</v>
      </c>
      <c r="C13" s="49"/>
      <c r="D13" s="49"/>
      <c r="E13" s="49"/>
      <c r="F13" s="49"/>
      <c r="G13" s="49"/>
      <c r="H13" s="49"/>
      <c r="I13" s="49"/>
    </row>
    <row r="15" spans="1:10" x14ac:dyDescent="0.25">
      <c r="B15" s="2" t="s">
        <v>183</v>
      </c>
      <c r="C15" s="2" t="s">
        <v>184</v>
      </c>
    </row>
    <row r="16" spans="1:10" x14ac:dyDescent="0.25">
      <c r="B16" s="3">
        <v>1809</v>
      </c>
      <c r="C16" s="3"/>
    </row>
    <row r="17" spans="1:9" x14ac:dyDescent="0.25">
      <c r="B17" s="3">
        <v>-10</v>
      </c>
      <c r="C17" s="3"/>
    </row>
    <row r="18" spans="1:9" x14ac:dyDescent="0.25">
      <c r="B18" s="3">
        <v>-200</v>
      </c>
      <c r="C18" s="3"/>
    </row>
    <row r="19" spans="1:9" x14ac:dyDescent="0.25">
      <c r="B19" s="3">
        <v>800</v>
      </c>
      <c r="C19" s="3"/>
    </row>
    <row r="20" spans="1:9" x14ac:dyDescent="0.25">
      <c r="B20" s="3">
        <v>-1691</v>
      </c>
      <c r="C20" s="3"/>
    </row>
    <row r="21" spans="1:9" x14ac:dyDescent="0.25">
      <c r="B21" s="3">
        <v>1500</v>
      </c>
      <c r="C21" s="3"/>
    </row>
    <row r="22" spans="1:9" x14ac:dyDescent="0.25">
      <c r="B22" s="3">
        <v>3500</v>
      </c>
      <c r="C22" s="3"/>
    </row>
    <row r="24" spans="1:9" x14ac:dyDescent="0.25">
      <c r="A24" s="49" t="s">
        <v>185</v>
      </c>
      <c r="B24" s="49" t="s">
        <v>186</v>
      </c>
      <c r="C24" s="49"/>
      <c r="D24" s="49"/>
      <c r="E24" s="49"/>
      <c r="F24" s="49"/>
      <c r="G24" s="49"/>
      <c r="H24" s="49"/>
      <c r="I24" s="49"/>
    </row>
    <row r="26" spans="1:9" x14ac:dyDescent="0.25">
      <c r="B26" s="51" t="s">
        <v>7</v>
      </c>
      <c r="C26" s="51" t="s">
        <v>187</v>
      </c>
      <c r="D26" s="51" t="s">
        <v>188</v>
      </c>
    </row>
    <row r="27" spans="1:9" x14ac:dyDescent="0.25">
      <c r="B27" s="3" t="s">
        <v>189</v>
      </c>
      <c r="C27" s="52">
        <v>40239</v>
      </c>
      <c r="D27" s="1" t="e">
        <f ca="1">DATEDIF(B27, TODAY(),"y")</f>
        <v>#VALUE!</v>
      </c>
    </row>
    <row r="28" spans="1:9" x14ac:dyDescent="0.25">
      <c r="B28" s="3" t="s">
        <v>190</v>
      </c>
      <c r="C28" s="52">
        <v>40331</v>
      </c>
      <c r="D28" s="1" t="e" cm="1">
        <f t="array" aca="1" ref="D28" ca="1">DATEDIF(G36B28, TODAY(), "Y") &amp; " Years " &amp; DATEDIF(B28, TODAY(), "YD") &amp; " Days"</f>
        <v>#NAME?</v>
      </c>
    </row>
    <row r="29" spans="1:9" x14ac:dyDescent="0.25">
      <c r="B29" s="3" t="s">
        <v>191</v>
      </c>
      <c r="C29" s="52">
        <v>39915</v>
      </c>
      <c r="D29" s="1"/>
    </row>
    <row r="30" spans="1:9" x14ac:dyDescent="0.25">
      <c r="B30" s="3" t="s">
        <v>192</v>
      </c>
      <c r="C30" s="52">
        <v>40604</v>
      </c>
      <c r="D30" s="1"/>
    </row>
    <row r="31" spans="1:9" x14ac:dyDescent="0.25">
      <c r="B31" s="3" t="s">
        <v>193</v>
      </c>
      <c r="C31" s="52">
        <v>40331</v>
      </c>
      <c r="D31" s="1"/>
    </row>
    <row r="32" spans="1:9" x14ac:dyDescent="0.25">
      <c r="B32" s="3" t="s">
        <v>194</v>
      </c>
      <c r="C32" s="52">
        <v>39915</v>
      </c>
      <c r="D32" s="1"/>
    </row>
    <row r="33" spans="1:13" x14ac:dyDescent="0.25">
      <c r="B33" s="3" t="s">
        <v>195</v>
      </c>
      <c r="C33" s="52">
        <v>40604</v>
      </c>
      <c r="D33" s="1"/>
    </row>
    <row r="34" spans="1:13" x14ac:dyDescent="0.25">
      <c r="B34" s="3" t="s">
        <v>196</v>
      </c>
      <c r="C34" s="52">
        <v>40331</v>
      </c>
      <c r="D34" s="1"/>
    </row>
    <row r="35" spans="1:13" x14ac:dyDescent="0.25">
      <c r="B35" s="3" t="s">
        <v>197</v>
      </c>
      <c r="C35" s="52">
        <v>39915</v>
      </c>
      <c r="D35" s="1"/>
    </row>
    <row r="37" spans="1:13" x14ac:dyDescent="0.25">
      <c r="J37" s="53"/>
      <c r="K37" s="53"/>
      <c r="L37" s="53"/>
      <c r="M37" s="53"/>
    </row>
    <row r="38" spans="1:13" x14ac:dyDescent="0.25">
      <c r="A38" s="49" t="s">
        <v>198</v>
      </c>
      <c r="B38" s="49" t="s">
        <v>199</v>
      </c>
      <c r="C38" s="49"/>
      <c r="D38" s="49"/>
      <c r="E38" s="49"/>
      <c r="F38" s="49"/>
      <c r="G38" s="49"/>
      <c r="H38" s="49"/>
      <c r="I38" s="49"/>
    </row>
    <row r="40" spans="1:13" x14ac:dyDescent="0.25">
      <c r="B40" s="51" t="s">
        <v>7</v>
      </c>
      <c r="C40" s="51" t="s">
        <v>200</v>
      </c>
      <c r="D40" s="51" t="s">
        <v>201</v>
      </c>
      <c r="E40" s="51" t="s">
        <v>202</v>
      </c>
    </row>
    <row r="41" spans="1:13" x14ac:dyDescent="0.25">
      <c r="B41" s="3" t="s">
        <v>189</v>
      </c>
      <c r="C41" s="3">
        <v>29</v>
      </c>
      <c r="D41" s="3" t="s">
        <v>203</v>
      </c>
      <c r="E41" s="3" t="s">
        <v>204</v>
      </c>
    </row>
    <row r="42" spans="1:13" x14ac:dyDescent="0.25">
      <c r="B42" s="3" t="s">
        <v>190</v>
      </c>
      <c r="C42" s="3">
        <v>33</v>
      </c>
      <c r="D42" s="3" t="s">
        <v>205</v>
      </c>
      <c r="E42" s="3" t="s">
        <v>204</v>
      </c>
    </row>
    <row r="43" spans="1:13" x14ac:dyDescent="0.25">
      <c r="B43" s="3" t="s">
        <v>191</v>
      </c>
      <c r="C43" s="3">
        <v>27</v>
      </c>
      <c r="D43" s="3" t="s">
        <v>206</v>
      </c>
      <c r="E43" s="3" t="s">
        <v>204</v>
      </c>
    </row>
    <row r="44" spans="1:13" x14ac:dyDescent="0.25">
      <c r="B44" s="3" t="s">
        <v>192</v>
      </c>
      <c r="C44" s="3">
        <v>22</v>
      </c>
      <c r="D44" s="3" t="s">
        <v>203</v>
      </c>
      <c r="E44" s="3" t="s">
        <v>204</v>
      </c>
    </row>
    <row r="45" spans="1:13" x14ac:dyDescent="0.25">
      <c r="B45" s="3" t="s">
        <v>193</v>
      </c>
      <c r="C45" s="3">
        <v>24</v>
      </c>
      <c r="D45" s="3" t="s">
        <v>205</v>
      </c>
      <c r="E45" s="3" t="s">
        <v>204</v>
      </c>
    </row>
    <row r="46" spans="1:13" x14ac:dyDescent="0.25">
      <c r="B46" s="3" t="s">
        <v>194</v>
      </c>
      <c r="C46" s="3">
        <v>32</v>
      </c>
      <c r="D46" s="3" t="s">
        <v>206</v>
      </c>
      <c r="E46" s="3" t="s">
        <v>204</v>
      </c>
    </row>
    <row r="47" spans="1:13" x14ac:dyDescent="0.25">
      <c r="B47" s="3" t="s">
        <v>195</v>
      </c>
      <c r="C47" s="3">
        <v>26</v>
      </c>
      <c r="D47" s="3" t="s">
        <v>203</v>
      </c>
      <c r="E47" s="3" t="s">
        <v>204</v>
      </c>
    </row>
    <row r="48" spans="1:13" x14ac:dyDescent="0.25">
      <c r="B48" s="3" t="s">
        <v>196</v>
      </c>
      <c r="C48" s="3">
        <v>25</v>
      </c>
      <c r="D48" s="3" t="s">
        <v>205</v>
      </c>
      <c r="E48" s="3" t="s">
        <v>204</v>
      </c>
    </row>
    <row r="49" spans="1:9" x14ac:dyDescent="0.25">
      <c r="B49" s="3" t="s">
        <v>197</v>
      </c>
      <c r="C49" s="3">
        <v>28</v>
      </c>
      <c r="D49" s="3" t="s">
        <v>206</v>
      </c>
      <c r="E49" s="3" t="s">
        <v>204</v>
      </c>
    </row>
    <row r="51" spans="1:9" x14ac:dyDescent="0.25">
      <c r="A51" s="49" t="s">
        <v>207</v>
      </c>
      <c r="B51" s="49" t="s">
        <v>208</v>
      </c>
      <c r="C51" s="49"/>
      <c r="D51" s="49"/>
      <c r="E51" s="49"/>
      <c r="F51" s="49"/>
      <c r="G51" s="49"/>
      <c r="H51" s="49"/>
      <c r="I51" s="49"/>
    </row>
    <row r="53" spans="1:9" x14ac:dyDescent="0.25">
      <c r="B53" s="2" t="s">
        <v>7</v>
      </c>
      <c r="C53" s="2" t="s">
        <v>209</v>
      </c>
    </row>
    <row r="54" spans="1:9" x14ac:dyDescent="0.25">
      <c r="B54" s="3" t="s">
        <v>210</v>
      </c>
      <c r="C54" s="3">
        <v>4224</v>
      </c>
    </row>
    <row r="55" spans="1:9" x14ac:dyDescent="0.25">
      <c r="B55" s="3" t="s">
        <v>211</v>
      </c>
      <c r="C55" s="3">
        <v>3875</v>
      </c>
    </row>
    <row r="56" spans="1:9" x14ac:dyDescent="0.25">
      <c r="B56" s="3" t="s">
        <v>212</v>
      </c>
      <c r="C56" s="3">
        <v>2078</v>
      </c>
    </row>
    <row r="57" spans="1:9" x14ac:dyDescent="0.25">
      <c r="B57" s="3" t="s">
        <v>213</v>
      </c>
      <c r="C57" s="3">
        <v>4797</v>
      </c>
    </row>
    <row r="58" spans="1:9" x14ac:dyDescent="0.25">
      <c r="B58" s="3" t="s">
        <v>214</v>
      </c>
      <c r="C58" s="3">
        <v>4202</v>
      </c>
    </row>
    <row r="59" spans="1:9" x14ac:dyDescent="0.25">
      <c r="B59" s="3" t="s">
        <v>210</v>
      </c>
      <c r="C59" s="3">
        <v>4591</v>
      </c>
    </row>
    <row r="60" spans="1:9" x14ac:dyDescent="0.25">
      <c r="B60" s="3" t="s">
        <v>211</v>
      </c>
      <c r="C60" s="3">
        <v>2514</v>
      </c>
    </row>
    <row r="61" spans="1:9" x14ac:dyDescent="0.25">
      <c r="B61" s="3" t="s">
        <v>212</v>
      </c>
      <c r="C61" s="3">
        <v>4360</v>
      </c>
    </row>
    <row r="62" spans="1:9" x14ac:dyDescent="0.25">
      <c r="B62" s="3" t="s">
        <v>213</v>
      </c>
      <c r="C62" s="3">
        <v>3874</v>
      </c>
    </row>
    <row r="63" spans="1:9" x14ac:dyDescent="0.25">
      <c r="B63" s="3" t="s">
        <v>214</v>
      </c>
      <c r="C63" s="3">
        <v>3589</v>
      </c>
    </row>
    <row r="64" spans="1:9" x14ac:dyDescent="0.25">
      <c r="B64" s="3" t="s">
        <v>210</v>
      </c>
      <c r="C64" s="3">
        <v>2452</v>
      </c>
    </row>
    <row r="65" spans="1:9" x14ac:dyDescent="0.25">
      <c r="B65" s="3" t="s">
        <v>211</v>
      </c>
      <c r="C65" s="3">
        <v>4945</v>
      </c>
    </row>
    <row r="66" spans="1:9" x14ac:dyDescent="0.25">
      <c r="B66" s="3" t="s">
        <v>212</v>
      </c>
      <c r="C66" s="3">
        <v>4163</v>
      </c>
    </row>
    <row r="67" spans="1:9" x14ac:dyDescent="0.25">
      <c r="B67" s="3" t="s">
        <v>213</v>
      </c>
      <c r="C67" s="3">
        <v>3082</v>
      </c>
    </row>
    <row r="68" spans="1:9" x14ac:dyDescent="0.25">
      <c r="B68" s="3" t="s">
        <v>214</v>
      </c>
      <c r="C68" s="3">
        <v>2226</v>
      </c>
    </row>
    <row r="69" spans="1:9" ht="15.75" thickBot="1" x14ac:dyDescent="0.3"/>
    <row r="70" spans="1:9" ht="15.75" thickBot="1" x14ac:dyDescent="0.3">
      <c r="A70" s="7" t="s">
        <v>180</v>
      </c>
      <c r="B70" s="54">
        <f>AVERAGEIF(B54:B68, "Raman",C54:C68)</f>
        <v>3533.6666666666665</v>
      </c>
    </row>
    <row r="72" spans="1:9" x14ac:dyDescent="0.25">
      <c r="A72" s="49" t="s">
        <v>215</v>
      </c>
      <c r="B72" s="49" t="s">
        <v>216</v>
      </c>
      <c r="C72" s="49"/>
      <c r="D72" s="49"/>
      <c r="E72" s="49"/>
      <c r="F72" s="49"/>
      <c r="G72" s="49"/>
      <c r="H72" s="49"/>
      <c r="I72" s="49"/>
    </row>
    <row r="74" spans="1:9" x14ac:dyDescent="0.25">
      <c r="B74" s="35" t="s">
        <v>7</v>
      </c>
      <c r="D74" t="s">
        <v>180</v>
      </c>
      <c r="E74" s="35" t="s">
        <v>217</v>
      </c>
      <c r="F74" s="35" t="s">
        <v>218</v>
      </c>
      <c r="G74" s="35" t="s">
        <v>219</v>
      </c>
    </row>
    <row r="75" spans="1:9" x14ac:dyDescent="0.25">
      <c r="B75" s="3" t="s">
        <v>220</v>
      </c>
      <c r="E75" s="1" t="str">
        <f>LEFT(B75,SEARCH(" ",B75)-1)</f>
        <v>Lal</v>
      </c>
      <c r="F75" s="1" t="str">
        <f>TRIM(MID(B75, FIND(" ", B75) + 1, FIND(" ", B75, FIND(" ", B75)+1) - FIND(" ", B75)))</f>
        <v>Bahadu</v>
      </c>
      <c r="G75" s="1" t="str">
        <f>TRIM(RIGHT(SUBSTITUTE(B75," ",REPT(" ",50)),50))</f>
        <v>Shashtri</v>
      </c>
    </row>
    <row r="76" spans="1:9" x14ac:dyDescent="0.25">
      <c r="B76" s="3" t="s">
        <v>221</v>
      </c>
      <c r="E76" s="1" t="str">
        <f t="shared" ref="E76:E80" si="0">LEFT(B76,SEARCH(" ",B76)-1)</f>
        <v>Atal</v>
      </c>
      <c r="F76" s="1" t="str">
        <f t="shared" ref="F76:F80" si="1">TRIM(MID(B76, FIND(" ", B76) + 1, FIND(" ", B76, FIND(" ", B76)+1) - FIND(" ", B76)))</f>
        <v>Bihari</v>
      </c>
      <c r="G76" s="1" t="str">
        <f t="shared" ref="G76:G80" si="2">TRIM(RIGHT(SUBSTITUTE(B76," ",REPT(" ",50)),50))</f>
        <v>Bajpay</v>
      </c>
    </row>
    <row r="77" spans="1:9" x14ac:dyDescent="0.25">
      <c r="B77" s="3" t="s">
        <v>222</v>
      </c>
      <c r="E77" s="1" t="str">
        <f t="shared" si="0"/>
        <v>Indra</v>
      </c>
      <c r="F77" s="1" t="str">
        <f t="shared" si="1"/>
        <v>Kumar</v>
      </c>
      <c r="G77" s="1" t="str">
        <f t="shared" si="2"/>
        <v>Gujral</v>
      </c>
    </row>
    <row r="78" spans="1:9" x14ac:dyDescent="0.25">
      <c r="B78" s="3" t="s">
        <v>223</v>
      </c>
      <c r="E78" s="1" t="str">
        <f t="shared" si="0"/>
        <v>Manmohan</v>
      </c>
      <c r="F78" s="1" t="str">
        <f t="shared" si="1"/>
        <v>Singh</v>
      </c>
      <c r="G78" s="1" t="str">
        <f t="shared" si="2"/>
        <v>Gandhi</v>
      </c>
    </row>
    <row r="79" spans="1:9" x14ac:dyDescent="0.25">
      <c r="B79" s="3" t="s">
        <v>224</v>
      </c>
      <c r="E79" s="1" t="str">
        <f t="shared" si="0"/>
        <v>Ram</v>
      </c>
      <c r="F79" s="1" t="str">
        <f t="shared" si="1"/>
        <v>Dev</v>
      </c>
      <c r="G79" s="1" t="str">
        <f t="shared" si="2"/>
        <v>Baba</v>
      </c>
    </row>
    <row r="80" spans="1:9" x14ac:dyDescent="0.25">
      <c r="B80" s="3" t="s">
        <v>225</v>
      </c>
      <c r="E80" s="1" t="str">
        <f>LEFT(B80,FIND(" ",B80)-1)</f>
        <v>Subhash</v>
      </c>
      <c r="F80" s="1" t="str">
        <f t="shared" si="1"/>
        <v>Chandra</v>
      </c>
      <c r="G80" s="1" t="str">
        <f t="shared" si="2"/>
        <v>Bose</v>
      </c>
    </row>
    <row r="83" spans="1:9" x14ac:dyDescent="0.25">
      <c r="A83" s="49" t="s">
        <v>226</v>
      </c>
      <c r="B83" s="49" t="s">
        <v>227</v>
      </c>
      <c r="C83" s="49"/>
      <c r="D83" s="49"/>
      <c r="E83" s="49"/>
      <c r="F83" s="49"/>
      <c r="G83" s="49"/>
      <c r="H83" s="49"/>
      <c r="I83" s="49"/>
    </row>
    <row r="85" spans="1:9" x14ac:dyDescent="0.25">
      <c r="B85" s="35" t="s">
        <v>7</v>
      </c>
      <c r="D85" s="66"/>
    </row>
    <row r="86" spans="1:9" x14ac:dyDescent="0.25">
      <c r="B86" s="3" t="s">
        <v>210</v>
      </c>
    </row>
    <row r="87" spans="1:9" x14ac:dyDescent="0.25">
      <c r="B87" s="3" t="s">
        <v>211</v>
      </c>
    </row>
    <row r="88" spans="1:9" x14ac:dyDescent="0.25">
      <c r="B88" s="3" t="s">
        <v>212</v>
      </c>
    </row>
    <row r="89" spans="1:9" x14ac:dyDescent="0.25">
      <c r="B89" s="3" t="s">
        <v>213</v>
      </c>
    </row>
    <row r="90" spans="1:9" x14ac:dyDescent="0.25">
      <c r="B90" s="3" t="s">
        <v>214</v>
      </c>
      <c r="D90" s="66"/>
    </row>
    <row r="91" spans="1:9" x14ac:dyDescent="0.25">
      <c r="B91" s="3" t="s">
        <v>210</v>
      </c>
    </row>
    <row r="92" spans="1:9" x14ac:dyDescent="0.25">
      <c r="B92" s="3" t="s">
        <v>211</v>
      </c>
    </row>
    <row r="93" spans="1:9" x14ac:dyDescent="0.25">
      <c r="B93" s="3" t="s">
        <v>212</v>
      </c>
    </row>
    <row r="94" spans="1:9" x14ac:dyDescent="0.25">
      <c r="B94" s="3" t="s">
        <v>213</v>
      </c>
      <c r="H94" s="55"/>
    </row>
    <row r="95" spans="1:9" x14ac:dyDescent="0.25">
      <c r="B95" s="3" t="s">
        <v>214</v>
      </c>
    </row>
    <row r="96" spans="1:9" x14ac:dyDescent="0.25">
      <c r="B96" s="3" t="s">
        <v>210</v>
      </c>
    </row>
    <row r="97" spans="1:9" x14ac:dyDescent="0.25">
      <c r="B97" s="3" t="s">
        <v>211</v>
      </c>
    </row>
    <row r="98" spans="1:9" x14ac:dyDescent="0.25">
      <c r="B98" s="3" t="s">
        <v>212</v>
      </c>
    </row>
    <row r="99" spans="1:9" x14ac:dyDescent="0.25">
      <c r="B99" s="3" t="s">
        <v>213</v>
      </c>
    </row>
    <row r="100" spans="1:9" x14ac:dyDescent="0.25">
      <c r="B100" s="3" t="s">
        <v>214</v>
      </c>
    </row>
    <row r="101" spans="1:9" ht="15.75" thickBot="1" x14ac:dyDescent="0.3"/>
    <row r="102" spans="1:9" ht="15.75" thickBot="1" x14ac:dyDescent="0.3">
      <c r="A102" s="7" t="s">
        <v>180</v>
      </c>
      <c r="B102" s="50">
        <f>COUNTA(_xlfn.UNIQUE(B86:B100))</f>
        <v>5</v>
      </c>
    </row>
    <row r="104" spans="1:9" x14ac:dyDescent="0.25">
      <c r="A104" s="49" t="s">
        <v>228</v>
      </c>
      <c r="B104" s="49" t="s">
        <v>229</v>
      </c>
      <c r="C104" s="49"/>
      <c r="D104" s="49"/>
      <c r="E104" s="49"/>
      <c r="F104" s="49"/>
      <c r="G104" s="49"/>
      <c r="H104" s="49"/>
      <c r="I104" s="49"/>
    </row>
    <row r="106" spans="1:9" x14ac:dyDescent="0.25">
      <c r="A106" s="7" t="s">
        <v>180</v>
      </c>
      <c r="B106" s="1" t="s">
        <v>272</v>
      </c>
    </row>
    <row r="107" spans="1:9" x14ac:dyDescent="0.25">
      <c r="B107" s="1" t="s">
        <v>273</v>
      </c>
    </row>
    <row r="108" spans="1:9" x14ac:dyDescent="0.25">
      <c r="B108" s="1"/>
    </row>
    <row r="109" spans="1:9" x14ac:dyDescent="0.25">
      <c r="B109" s="1"/>
    </row>
    <row r="110" spans="1:9" x14ac:dyDescent="0.25">
      <c r="B110" s="1"/>
    </row>
    <row r="111" spans="1:9" x14ac:dyDescent="0.25">
      <c r="B111" s="1"/>
    </row>
    <row r="112" spans="1:9" x14ac:dyDescent="0.25">
      <c r="B112" s="1"/>
    </row>
    <row r="114" spans="1:14" x14ac:dyDescent="0.25">
      <c r="A114" s="49" t="s">
        <v>230</v>
      </c>
      <c r="B114" s="49" t="s">
        <v>231</v>
      </c>
      <c r="C114" s="49"/>
      <c r="D114" s="49"/>
      <c r="E114" s="49"/>
      <c r="F114" s="49"/>
      <c r="G114" s="49"/>
      <c r="H114" s="49"/>
      <c r="I114" s="49"/>
    </row>
    <row r="116" spans="1:14" x14ac:dyDescent="0.25">
      <c r="B116" s="56" t="s">
        <v>232</v>
      </c>
      <c r="C116" s="35" t="s">
        <v>188</v>
      </c>
    </row>
    <row r="117" spans="1:14" x14ac:dyDescent="0.25">
      <c r="B117" s="57">
        <f ca="1">RANDBETWEEN(500,1000)</f>
        <v>730</v>
      </c>
      <c r="C117" s="1" t="str">
        <f ca="1">IF(B117=LARGE($B$117:$B$123,1),"H1", IF(B117=LARGE($B$117:$B$123,2),"H2",""))</f>
        <v/>
      </c>
    </row>
    <row r="118" spans="1:14" x14ac:dyDescent="0.25">
      <c r="B118" s="57">
        <f ca="1">RANDBETWEEN(500,1000)</f>
        <v>994</v>
      </c>
      <c r="C118" s="1" t="str">
        <f t="shared" ref="C118:C123" ca="1" si="3">IF(B118=LARGE($B$117:$B$123,1),"H1", IF(B118=LARGE($B$117:$B$123,2),"H2",""))</f>
        <v>H1</v>
      </c>
    </row>
    <row r="119" spans="1:14" x14ac:dyDescent="0.25">
      <c r="B119" s="57">
        <f ca="1">RANDBETWEEN(500,1000)</f>
        <v>732</v>
      </c>
      <c r="C119" s="1" t="str">
        <f t="shared" ca="1" si="3"/>
        <v/>
      </c>
    </row>
    <row r="120" spans="1:14" x14ac:dyDescent="0.25">
      <c r="B120" s="57">
        <f t="shared" ref="B120:B123" ca="1" si="4">RANDBETWEEN(500,1000)</f>
        <v>918</v>
      </c>
      <c r="C120" s="1" t="str">
        <f t="shared" ca="1" si="3"/>
        <v>H2</v>
      </c>
    </row>
    <row r="121" spans="1:14" x14ac:dyDescent="0.25">
      <c r="B121" s="57">
        <f t="shared" ca="1" si="4"/>
        <v>754</v>
      </c>
      <c r="C121" s="1" t="str">
        <f t="shared" ca="1" si="3"/>
        <v/>
      </c>
    </row>
    <row r="122" spans="1:14" x14ac:dyDescent="0.25">
      <c r="B122" s="57">
        <f ca="1">RANDBETWEEN(500,1000)</f>
        <v>554</v>
      </c>
      <c r="C122" s="1" t="str">
        <f t="shared" ca="1" si="3"/>
        <v/>
      </c>
    </row>
    <row r="123" spans="1:14" x14ac:dyDescent="0.25">
      <c r="B123" s="57">
        <f t="shared" ca="1" si="4"/>
        <v>656</v>
      </c>
      <c r="C123" s="1" t="str">
        <f t="shared" ca="1" si="3"/>
        <v/>
      </c>
    </row>
    <row r="125" spans="1:14" x14ac:dyDescent="0.25">
      <c r="A125" s="49" t="s">
        <v>233</v>
      </c>
      <c r="B125" s="49" t="s">
        <v>234</v>
      </c>
      <c r="C125" s="49"/>
      <c r="D125" s="49"/>
      <c r="E125" s="49"/>
      <c r="F125" s="49"/>
      <c r="G125" s="49"/>
      <c r="H125" s="49"/>
      <c r="I125" s="49"/>
    </row>
    <row r="127" spans="1:14" x14ac:dyDescent="0.25">
      <c r="A127" s="7" t="s">
        <v>180</v>
      </c>
      <c r="B127" t="s">
        <v>274</v>
      </c>
      <c r="E127" t="s">
        <v>275</v>
      </c>
      <c r="F127" t="s">
        <v>276</v>
      </c>
      <c r="H127" t="s">
        <v>277</v>
      </c>
      <c r="J127" t="s">
        <v>278</v>
      </c>
      <c r="N127" t="s">
        <v>279</v>
      </c>
    </row>
    <row r="129" spans="1:9" x14ac:dyDescent="0.25">
      <c r="A129" s="49" t="s">
        <v>235</v>
      </c>
      <c r="B129" s="49" t="s">
        <v>236</v>
      </c>
      <c r="C129" s="49"/>
      <c r="D129" s="49"/>
      <c r="E129" s="49"/>
      <c r="F129" s="49"/>
      <c r="G129" s="49"/>
      <c r="H129" s="49"/>
      <c r="I129" s="49"/>
    </row>
    <row r="131" spans="1:9" x14ac:dyDescent="0.25">
      <c r="B131" s="56" t="s">
        <v>7</v>
      </c>
      <c r="C131" s="56" t="s">
        <v>9</v>
      </c>
      <c r="D131" s="56" t="s">
        <v>237</v>
      </c>
    </row>
    <row r="132" spans="1:9" x14ac:dyDescent="0.25">
      <c r="B132" s="3" t="s">
        <v>210</v>
      </c>
      <c r="C132" s="52">
        <v>31495</v>
      </c>
      <c r="D132" s="3">
        <v>1001</v>
      </c>
    </row>
    <row r="133" spans="1:9" x14ac:dyDescent="0.25">
      <c r="B133" s="3" t="s">
        <v>211</v>
      </c>
      <c r="C133" s="52">
        <v>33005</v>
      </c>
      <c r="D133" s="3">
        <v>1002</v>
      </c>
    </row>
    <row r="134" spans="1:9" x14ac:dyDescent="0.25">
      <c r="B134" s="3" t="s">
        <v>212</v>
      </c>
      <c r="C134" s="52">
        <v>30818</v>
      </c>
      <c r="D134" s="3">
        <v>1003</v>
      </c>
    </row>
    <row r="135" spans="1:9" x14ac:dyDescent="0.25">
      <c r="B135" s="3" t="s">
        <v>213</v>
      </c>
      <c r="C135" s="52">
        <v>31090</v>
      </c>
      <c r="D135" s="3">
        <v>1004</v>
      </c>
    </row>
    <row r="136" spans="1:9" x14ac:dyDescent="0.25">
      <c r="B136" s="3" t="s">
        <v>214</v>
      </c>
      <c r="C136" s="52">
        <v>32325</v>
      </c>
      <c r="D136" s="3">
        <v>1005</v>
      </c>
    </row>
    <row r="137" spans="1:9" x14ac:dyDescent="0.25">
      <c r="C137" s="58"/>
    </row>
    <row r="139" spans="1:9" x14ac:dyDescent="0.25">
      <c r="B139" s="56" t="s">
        <v>238</v>
      </c>
      <c r="C139" s="35" t="s">
        <v>7</v>
      </c>
      <c r="D139" s="59" t="s">
        <v>9</v>
      </c>
    </row>
    <row r="140" spans="1:9" x14ac:dyDescent="0.25">
      <c r="A140" t="s">
        <v>180</v>
      </c>
      <c r="B140" s="57">
        <v>1001</v>
      </c>
      <c r="C140" s="60" t="str">
        <f>_xlfn.XLOOKUP(B140,D132:D136,B132:B136,0,0)</f>
        <v>Deepak</v>
      </c>
      <c r="D140" s="60">
        <f>_xlfn.XLOOKUP(B140,D132:D136,C132:C136,0,0)</f>
        <v>31495</v>
      </c>
    </row>
    <row r="142" spans="1:9" x14ac:dyDescent="0.25">
      <c r="A142" s="49" t="s">
        <v>239</v>
      </c>
      <c r="B142" s="49" t="s">
        <v>240</v>
      </c>
      <c r="C142" s="49"/>
      <c r="D142" s="49"/>
      <c r="E142" s="49"/>
      <c r="F142" s="49"/>
      <c r="G142" s="49"/>
      <c r="H142" s="49"/>
      <c r="I142" s="49"/>
    </row>
    <row r="144" spans="1:9" x14ac:dyDescent="0.25">
      <c r="B144" s="3"/>
      <c r="C144" s="61" t="s">
        <v>241</v>
      </c>
      <c r="D144" s="61" t="s">
        <v>242</v>
      </c>
      <c r="E144" s="61" t="s">
        <v>243</v>
      </c>
      <c r="F144" s="61" t="s">
        <v>244</v>
      </c>
      <c r="G144" s="61" t="s">
        <v>245</v>
      </c>
    </row>
    <row r="145" spans="1:9" x14ac:dyDescent="0.25">
      <c r="B145" s="62" t="s">
        <v>246</v>
      </c>
      <c r="C145" s="3">
        <v>3617</v>
      </c>
      <c r="D145" s="3">
        <v>4335</v>
      </c>
      <c r="E145" s="3">
        <v>3508</v>
      </c>
      <c r="F145" s="3">
        <v>2314</v>
      </c>
      <c r="G145" s="3">
        <v>4985</v>
      </c>
    </row>
    <row r="146" spans="1:9" x14ac:dyDescent="0.25">
      <c r="B146" s="62" t="s">
        <v>247</v>
      </c>
      <c r="C146" s="3">
        <v>2337</v>
      </c>
      <c r="D146" s="3">
        <v>4066</v>
      </c>
      <c r="E146" s="3">
        <v>2738</v>
      </c>
      <c r="F146" s="3">
        <v>3877</v>
      </c>
      <c r="G146" s="3">
        <v>3309</v>
      </c>
    </row>
    <row r="147" spans="1:9" x14ac:dyDescent="0.25">
      <c r="B147" s="62" t="s">
        <v>248</v>
      </c>
      <c r="C147" s="3">
        <v>4001</v>
      </c>
      <c r="D147" s="3">
        <v>4028</v>
      </c>
      <c r="E147" s="3">
        <v>3100</v>
      </c>
      <c r="F147" s="3">
        <v>4256</v>
      </c>
      <c r="G147" s="3">
        <v>3830</v>
      </c>
    </row>
    <row r="148" spans="1:9" x14ac:dyDescent="0.25">
      <c r="B148" s="62" t="s">
        <v>249</v>
      </c>
      <c r="C148" s="3">
        <v>2574</v>
      </c>
      <c r="D148" s="3">
        <v>3287</v>
      </c>
      <c r="E148" s="3">
        <v>3112</v>
      </c>
      <c r="F148" s="3">
        <v>4061</v>
      </c>
      <c r="G148" s="3">
        <v>4825</v>
      </c>
    </row>
    <row r="149" spans="1:9" x14ac:dyDescent="0.25">
      <c r="B149" s="62" t="s">
        <v>250</v>
      </c>
      <c r="C149" s="3">
        <v>3606</v>
      </c>
      <c r="D149" s="3">
        <v>3522</v>
      </c>
      <c r="E149" s="3">
        <v>4470</v>
      </c>
      <c r="F149" s="3">
        <v>3790</v>
      </c>
      <c r="G149" s="3">
        <v>4200</v>
      </c>
    </row>
    <row r="151" spans="1:9" x14ac:dyDescent="0.25">
      <c r="D151" s="53" t="s">
        <v>188</v>
      </c>
    </row>
    <row r="152" spans="1:9" x14ac:dyDescent="0.25">
      <c r="A152" s="7" t="s">
        <v>180</v>
      </c>
      <c r="B152" s="61" t="s">
        <v>241</v>
      </c>
      <c r="C152" s="61" t="s">
        <v>247</v>
      </c>
      <c r="D152" s="1" cm="1">
        <f t="array" ref="D152">_xlfn.XLOOKUP(C152, B145:B149, _xlfn.XLOOKUP(B152, C144:G144, C145:G149))</f>
        <v>2337</v>
      </c>
    </row>
    <row r="153" spans="1:9" x14ac:dyDescent="0.25">
      <c r="B153" s="61" t="s">
        <v>245</v>
      </c>
      <c r="C153" s="61" t="s">
        <v>249</v>
      </c>
      <c r="D153" s="1" cm="1">
        <f t="array" ref="D153">_xlfn.XLOOKUP(C153, B145:B149, _xlfn.XLOOKUP(B153, C144:G144, C145:G149))</f>
        <v>4825</v>
      </c>
    </row>
    <row r="154" spans="1:9" x14ac:dyDescent="0.25">
      <c r="B154" s="61" t="s">
        <v>241</v>
      </c>
      <c r="C154" s="61" t="s">
        <v>249</v>
      </c>
      <c r="D154" s="1" cm="1">
        <f t="array" ref="D154">_xlfn.XLOOKUP(C154, B145:B149, _xlfn.XLOOKUP(B154, C144:G144, C145:G149))</f>
        <v>2574</v>
      </c>
    </row>
    <row r="156" spans="1:9" x14ac:dyDescent="0.25">
      <c r="A156" s="49" t="s">
        <v>251</v>
      </c>
      <c r="B156" s="49" t="s">
        <v>252</v>
      </c>
      <c r="C156" s="49"/>
      <c r="D156" s="49"/>
      <c r="E156" s="49"/>
      <c r="F156" s="49"/>
      <c r="G156" s="49"/>
      <c r="H156" s="49"/>
      <c r="I156" s="49"/>
    </row>
    <row r="158" spans="1:9" x14ac:dyDescent="0.25">
      <c r="B158" s="63" t="s">
        <v>253</v>
      </c>
      <c r="C158" s="56" t="s">
        <v>254</v>
      </c>
    </row>
    <row r="159" spans="1:9" x14ac:dyDescent="0.25">
      <c r="B159" s="57" t="s">
        <v>255</v>
      </c>
      <c r="C159" s="64" t="str">
        <f>IF(MID(B159,5,2) ="25", MID(B159,5,2)," ")</f>
        <v>25</v>
      </c>
    </row>
    <row r="160" spans="1:9" x14ac:dyDescent="0.25">
      <c r="B160" s="57" t="s">
        <v>256</v>
      </c>
      <c r="C160" s="64" t="str">
        <f t="shared" ref="C160:C168" si="5">IF(MID(B160,5,2) ="25", MID(B160,5,2)," ")</f>
        <v xml:space="preserve"> </v>
      </c>
    </row>
    <row r="161" spans="1:9" x14ac:dyDescent="0.25">
      <c r="B161" s="57" t="s">
        <v>257</v>
      </c>
      <c r="C161" s="64" t="str">
        <f t="shared" si="5"/>
        <v xml:space="preserve"> </v>
      </c>
    </row>
    <row r="162" spans="1:9" x14ac:dyDescent="0.25">
      <c r="B162" s="57" t="s">
        <v>255</v>
      </c>
      <c r="C162" s="64" t="str">
        <f t="shared" si="5"/>
        <v>25</v>
      </c>
    </row>
    <row r="163" spans="1:9" x14ac:dyDescent="0.25">
      <c r="B163" s="57" t="s">
        <v>258</v>
      </c>
      <c r="C163" s="64" t="str">
        <f t="shared" si="5"/>
        <v>25</v>
      </c>
    </row>
    <row r="164" spans="1:9" x14ac:dyDescent="0.25">
      <c r="B164" s="57" t="s">
        <v>259</v>
      </c>
      <c r="C164" s="64" t="str">
        <f t="shared" si="5"/>
        <v>25</v>
      </c>
    </row>
    <row r="165" spans="1:9" x14ac:dyDescent="0.25">
      <c r="B165" s="57" t="s">
        <v>260</v>
      </c>
      <c r="C165" s="64" t="str">
        <f t="shared" si="5"/>
        <v>25</v>
      </c>
    </row>
    <row r="166" spans="1:9" x14ac:dyDescent="0.25">
      <c r="B166" s="57" t="s">
        <v>261</v>
      </c>
      <c r="C166" s="64" t="str">
        <f t="shared" si="5"/>
        <v xml:space="preserve"> </v>
      </c>
    </row>
    <row r="167" spans="1:9" x14ac:dyDescent="0.25">
      <c r="B167" s="57" t="s">
        <v>262</v>
      </c>
      <c r="C167" s="64" t="str">
        <f t="shared" si="5"/>
        <v>25</v>
      </c>
    </row>
    <row r="168" spans="1:9" x14ac:dyDescent="0.25">
      <c r="B168" s="57" t="s">
        <v>263</v>
      </c>
      <c r="C168" s="64" t="str">
        <f t="shared" si="5"/>
        <v>25</v>
      </c>
    </row>
    <row r="169" spans="1:9" x14ac:dyDescent="0.25">
      <c r="B169" s="36"/>
    </row>
    <row r="170" spans="1:9" x14ac:dyDescent="0.25">
      <c r="A170" s="49" t="s">
        <v>264</v>
      </c>
      <c r="B170" s="49" t="s">
        <v>265</v>
      </c>
      <c r="C170" s="49"/>
      <c r="D170" s="49"/>
      <c r="E170" s="49"/>
      <c r="F170" s="49"/>
      <c r="G170" s="49"/>
      <c r="H170" s="49"/>
      <c r="I170" s="49"/>
    </row>
    <row r="171" spans="1:9" x14ac:dyDescent="0.25">
      <c r="B171" s="36"/>
      <c r="C171" s="52">
        <v>41609</v>
      </c>
      <c r="D171" s="52">
        <v>41639</v>
      </c>
    </row>
    <row r="172" spans="1:9" x14ac:dyDescent="0.25">
      <c r="B172" s="36"/>
    </row>
    <row r="173" spans="1:9" x14ac:dyDescent="0.25">
      <c r="A173" t="s">
        <v>254</v>
      </c>
      <c r="B173" s="64" cm="1">
        <f t="array" aca="1" ref="B173" ca="1">SUMPRODUCT(--(WEEKDAY(ROW(INDIRECT(C171&amp;":"&amp;D171)))=1))</f>
        <v>5</v>
      </c>
    </row>
    <row r="174" spans="1:9" x14ac:dyDescent="0.25">
      <c r="B174" s="36"/>
    </row>
    <row r="175" spans="1:9" x14ac:dyDescent="0.25">
      <c r="B175" s="36"/>
    </row>
    <row r="176" spans="1:9" x14ac:dyDescent="0.25">
      <c r="B176" s="36"/>
    </row>
    <row r="177" spans="1:9" x14ac:dyDescent="0.25">
      <c r="A177" s="49" t="s">
        <v>266</v>
      </c>
      <c r="B177" s="49" t="s">
        <v>267</v>
      </c>
      <c r="C177" s="49"/>
      <c r="D177" s="49"/>
      <c r="E177" s="49"/>
      <c r="F177" s="49"/>
      <c r="G177" s="49"/>
      <c r="H177" s="49"/>
      <c r="I177" s="49"/>
    </row>
    <row r="178" spans="1:9" x14ac:dyDescent="0.25">
      <c r="A178" s="36"/>
      <c r="B178" s="36"/>
      <c r="C178" s="36"/>
      <c r="D178" s="36"/>
      <c r="E178" s="36"/>
      <c r="F178" s="36"/>
      <c r="G178" s="36"/>
      <c r="H178" s="36"/>
      <c r="I178" s="36"/>
    </row>
    <row r="179" spans="1:9" x14ac:dyDescent="0.25">
      <c r="B179" s="36"/>
      <c r="C179" s="3">
        <v>15</v>
      </c>
      <c r="D179" s="3">
        <v>1</v>
      </c>
      <c r="E179" s="3">
        <v>1</v>
      </c>
      <c r="F179" s="3">
        <v>3</v>
      </c>
    </row>
    <row r="180" spans="1:9" x14ac:dyDescent="0.25">
      <c r="B180" s="36"/>
      <c r="C180" s="3">
        <v>11</v>
      </c>
      <c r="D180" s="3">
        <v>3</v>
      </c>
      <c r="E180" s="3">
        <v>14</v>
      </c>
      <c r="F180" s="3">
        <v>4</v>
      </c>
    </row>
    <row r="181" spans="1:9" x14ac:dyDescent="0.25">
      <c r="B181" s="36"/>
      <c r="C181" s="3">
        <v>3</v>
      </c>
      <c r="D181" s="3">
        <v>7</v>
      </c>
      <c r="E181" s="3">
        <v>8</v>
      </c>
      <c r="F181" s="3">
        <v>5</v>
      </c>
    </row>
    <row r="182" spans="1:9" x14ac:dyDescent="0.25">
      <c r="B182" s="36"/>
      <c r="C182" s="3">
        <v>5</v>
      </c>
      <c r="D182" s="3">
        <v>8</v>
      </c>
      <c r="E182" s="3">
        <v>12</v>
      </c>
      <c r="F182" s="3">
        <v>6</v>
      </c>
    </row>
    <row r="183" spans="1:9" x14ac:dyDescent="0.25">
      <c r="B183" s="36"/>
    </row>
    <row r="184" spans="1:9" x14ac:dyDescent="0.25">
      <c r="A184" s="7" t="s">
        <v>268</v>
      </c>
      <c r="B184" s="1">
        <f>COUNTIFS(C179:F182,"&gt;5",C179:F182,"&lt;10")</f>
        <v>4</v>
      </c>
    </row>
  </sheetData>
  <conditionalFormatting sqref="C16:C22">
    <cfRule type="expression" priority="3">
      <formula>AND($B2&gt;0,$B2&lt;2000)</formula>
    </cfRule>
    <cfRule type="expression" dxfId="1" priority="2">
      <formula>AND($B16&gt;0, $B16&lt;2000)</formula>
    </cfRule>
  </conditionalFormatting>
  <conditionalFormatting sqref="B41:E49">
    <cfRule type="expression" dxfId="0" priority="1">
      <formula>OR($C41&lt;24, $C41&gt;27)</formula>
    </cfRule>
  </conditionalFormatting>
  <dataValidations count="4">
    <dataValidation type="list" allowBlank="1" showInputMessage="1" showErrorMessage="1" sqref="B140" xr:uid="{BDA66D34-FC0E-4FD2-A6BF-D0A13A7A72C4}">
      <formula1>$D$132:$D$136</formula1>
    </dataValidation>
    <dataValidation type="list" allowBlank="1" showInputMessage="1" showErrorMessage="1" sqref="C152:C154" xr:uid="{44A2A19E-0853-4674-B530-D2CAED622463}">
      <formula1>$B$145:$B$149</formula1>
    </dataValidation>
    <dataValidation type="list" allowBlank="1" showInputMessage="1" showErrorMessage="1" sqref="B152:B154" xr:uid="{80CD5482-7E93-4198-B29B-EFD9BD379631}">
      <formula1>$C$144:$G$144</formula1>
    </dataValidation>
    <dataValidation type="custom" allowBlank="1" showInputMessage="1" showErrorMessage="1" errorTitle="Alter" error="Duplicate Not Allowed" sqref="B106:B112" xr:uid="{05138C5F-CEF8-4CF9-88E8-4188F0C671C0}">
      <formula1>COUNTIF($B:$B,B106)=1</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Q1</vt:lpstr>
      <vt:lpstr>Name</vt:lpstr>
      <vt:lpstr>Date</vt:lpstr>
      <vt:lpstr>Country</vt:lpstr>
      <vt:lpstr>Q2</vt:lpstr>
      <vt:lpstr>Q3</vt:lpstr>
      <vt:lpstr>Q4</vt:lpstr>
      <vt:lpstr>Q5</vt:lpstr>
      <vt:lpstr>Q6</vt:lpstr>
      <vt:lpstr>Q7</vt:lpstr>
      <vt:lpstr>Q8</vt:lpstr>
      <vt:lpstr>Q9</vt:lpstr>
      <vt:lpstr>Q10</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Paighan</dc:creator>
  <cp:lastModifiedBy>Sadhna Bahetwar</cp:lastModifiedBy>
  <dcterms:created xsi:type="dcterms:W3CDTF">2016-04-23T03:25:27Z</dcterms:created>
  <dcterms:modified xsi:type="dcterms:W3CDTF">2025-12-10T10:31:01Z</dcterms:modified>
</cp:coreProperties>
</file>