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9C73090-80BB-46B6-9295-0155EEC67A5D}" xr6:coauthVersionLast="47" xr6:coauthVersionMax="47" xr10:uidLastSave="{00000000-0000-0000-0000-000000000000}"/>
  <bookViews>
    <workbookView xWindow="-120" yWindow="-120" windowWidth="20730" windowHeight="11040" xr2:uid="{EDEF03DA-6C60-4262-8D74-7336E65F0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I15" i="1"/>
  <c r="I16" i="1"/>
  <c r="I9" i="1" s="1"/>
  <c r="I17" i="1"/>
  <c r="I18" i="1"/>
  <c r="H16" i="1"/>
  <c r="H17" i="1"/>
  <c r="H10" i="1" s="1"/>
  <c r="H18" i="1"/>
  <c r="H11" i="1" s="1"/>
  <c r="G16" i="1"/>
  <c r="G17" i="1"/>
  <c r="G18" i="1"/>
  <c r="F16" i="1"/>
  <c r="F17" i="1"/>
  <c r="F10" i="1" s="1"/>
  <c r="F18" i="1"/>
  <c r="D15" i="1"/>
  <c r="K4" i="1" s="1"/>
  <c r="E15" i="1"/>
  <c r="F15" i="1"/>
  <c r="G15" i="1"/>
  <c r="H15" i="1"/>
  <c r="C15" i="1"/>
  <c r="J4" i="1" s="1"/>
  <c r="J5" i="1"/>
  <c r="E16" i="1"/>
  <c r="E17" i="1"/>
  <c r="E10" i="1" s="1"/>
  <c r="E18" i="1"/>
  <c r="D16" i="1"/>
  <c r="D9" i="1" s="1"/>
  <c r="D17" i="1"/>
  <c r="K3" i="1" s="1"/>
  <c r="D18" i="1"/>
  <c r="D11" i="1" s="1"/>
  <c r="C16" i="1"/>
  <c r="C9" i="1" s="1"/>
  <c r="C17" i="1"/>
  <c r="J3" i="1" s="1"/>
  <c r="C18" i="1"/>
  <c r="J7" i="1" s="1"/>
  <c r="D10" i="1" l="1"/>
  <c r="P16" i="1"/>
  <c r="D8" i="1"/>
  <c r="C8" i="1"/>
  <c r="I10" i="1"/>
  <c r="I11" i="1"/>
</calcChain>
</file>

<file path=xl/sharedStrings.xml><?xml version="1.0" encoding="utf-8"?>
<sst xmlns="http://schemas.openxmlformats.org/spreadsheetml/2006/main" count="32" uniqueCount="20">
  <si>
    <t>Shopnames</t>
  </si>
  <si>
    <t>Apple</t>
  </si>
  <si>
    <t>Mango</t>
  </si>
  <si>
    <t>Orange</t>
  </si>
  <si>
    <t>Watermelon</t>
  </si>
  <si>
    <t>Pineapple</t>
  </si>
  <si>
    <t>Cherry</t>
  </si>
  <si>
    <t>Blueberry</t>
  </si>
  <si>
    <t>Reliance</t>
  </si>
  <si>
    <t>Smart</t>
  </si>
  <si>
    <t>Dmart</t>
  </si>
  <si>
    <t>Vishal</t>
  </si>
  <si>
    <t>Vmart</t>
  </si>
  <si>
    <t>shop1</t>
  </si>
  <si>
    <t>shop2</t>
  </si>
  <si>
    <t>shop3</t>
  </si>
  <si>
    <t>shop4</t>
  </si>
  <si>
    <t>Banana</t>
  </si>
  <si>
    <t>Kiwi</t>
  </si>
  <si>
    <t>CustardApple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</si>
</sst>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A983"/>
        <bgColor indexed="64"/>
      </patternFill>
    </fill>
    <fill>
      <patternFill patternType="solid">
        <fgColor rgb="FF60CBF3"/>
        <bgColor indexed="64"/>
      </patternFill>
    </fill>
    <fill>
      <patternFill patternType="solid">
        <fgColor rgb="FF84E29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674-EF66-4555-A9DE-14AC350C184C}">
  <dimension ref="B1:P18"/>
  <sheetViews>
    <sheetView tabSelected="1" topLeftCell="A2" workbookViewId="0">
      <selection activeCell="H11" sqref="H11"/>
    </sheetView>
  </sheetViews>
  <sheetFormatPr defaultRowHeight="15" x14ac:dyDescent="0.25"/>
  <cols>
    <col min="2" max="2" width="12" customWidth="1"/>
    <col min="3" max="3" width="13.5703125" customWidth="1"/>
    <col min="4" max="4" width="23.5703125" customWidth="1"/>
    <col min="6" max="7" width="14.140625" customWidth="1"/>
    <col min="9" max="9" width="14.85546875" customWidth="1"/>
  </cols>
  <sheetData>
    <row r="1" spans="2:16" ht="15.75" thickBot="1" x14ac:dyDescent="0.3"/>
    <row r="2" spans="2:16" ht="32.25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5" t="s">
        <v>17</v>
      </c>
      <c r="K2" s="5" t="s">
        <v>18</v>
      </c>
      <c r="L2" s="5" t="s">
        <v>19</v>
      </c>
    </row>
    <row r="3" spans="2:16" ht="16.5" thickBot="1" x14ac:dyDescent="0.3">
      <c r="B3" s="3" t="s">
        <v>8</v>
      </c>
      <c r="C3" s="4">
        <v>190</v>
      </c>
      <c r="D3" s="4">
        <v>119</v>
      </c>
      <c r="E3" s="4">
        <v>185</v>
      </c>
      <c r="F3" s="4">
        <v>113</v>
      </c>
      <c r="G3" s="4">
        <v>185</v>
      </c>
      <c r="H3" s="4">
        <v>180</v>
      </c>
      <c r="I3" s="4">
        <v>178</v>
      </c>
      <c r="J3" t="e">
        <f>VLOOKUP(B3,B14:E18,2,FALSE)</f>
        <v>#N/A</v>
      </c>
      <c r="K3" t="e">
        <f>VLOOKUP(B3,B14:E18,3,FALSE)</f>
        <v>#N/A</v>
      </c>
    </row>
    <row r="4" spans="2:16" ht="16.5" thickBot="1" x14ac:dyDescent="0.3">
      <c r="B4" s="3" t="s">
        <v>9</v>
      </c>
      <c r="C4" s="4">
        <v>183</v>
      </c>
      <c r="D4" s="4">
        <v>60</v>
      </c>
      <c r="E4" s="4">
        <v>89</v>
      </c>
      <c r="F4" s="4">
        <v>78</v>
      </c>
      <c r="G4" s="4">
        <v>156</v>
      </c>
      <c r="H4" s="4">
        <v>183</v>
      </c>
      <c r="I4" s="4">
        <v>157</v>
      </c>
      <c r="J4" t="e">
        <f>VLOOKUP(B4,B14:E18,2,FALSE)</f>
        <v>#N/A</v>
      </c>
      <c r="K4" t="e">
        <f>VLOOKUP(B4,B14:E18,3,FALSE)</f>
        <v>#N/A</v>
      </c>
    </row>
    <row r="5" spans="2:16" ht="16.5" thickBot="1" x14ac:dyDescent="0.3">
      <c r="B5" s="3" t="s">
        <v>10</v>
      </c>
      <c r="C5" s="4">
        <v>147</v>
      </c>
      <c r="D5" s="4">
        <v>175</v>
      </c>
      <c r="E5" s="4">
        <v>79</v>
      </c>
      <c r="F5" s="4">
        <v>97</v>
      </c>
      <c r="G5" s="4">
        <v>57</v>
      </c>
      <c r="H5" s="4">
        <v>169</v>
      </c>
      <c r="I5" s="4">
        <v>69</v>
      </c>
      <c r="J5" t="e">
        <f>VLOOKUP(B7,A14:E18,2,FALSE)</f>
        <v>#N/A</v>
      </c>
    </row>
    <row r="6" spans="2:16" ht="16.5" thickBot="1" x14ac:dyDescent="0.3">
      <c r="B6" s="3" t="s">
        <v>11</v>
      </c>
      <c r="C6" s="4">
        <v>109</v>
      </c>
      <c r="D6" s="4">
        <v>121</v>
      </c>
      <c r="E6" s="4">
        <v>197</v>
      </c>
      <c r="F6" s="4">
        <v>99</v>
      </c>
      <c r="G6" s="4">
        <v>155</v>
      </c>
      <c r="H6" s="4">
        <v>93</v>
      </c>
      <c r="I6" s="4">
        <v>187</v>
      </c>
    </row>
    <row r="7" spans="2:16" ht="16.5" thickBot="1" x14ac:dyDescent="0.3">
      <c r="B7" s="3" t="s">
        <v>12</v>
      </c>
      <c r="C7" s="4">
        <v>145</v>
      </c>
      <c r="D7" s="4">
        <v>170</v>
      </c>
      <c r="E7" s="4">
        <v>157</v>
      </c>
      <c r="F7" s="4">
        <v>98</v>
      </c>
      <c r="G7" s="4">
        <v>131</v>
      </c>
      <c r="H7" s="4">
        <v>139</v>
      </c>
      <c r="I7" s="4">
        <v>134</v>
      </c>
      <c r="J7" t="e">
        <f>VLOOKUP(B7,B14:E18,2,FALSE)</f>
        <v>#N/A</v>
      </c>
    </row>
    <row r="8" spans="2:16" ht="16.5" thickBot="1" x14ac:dyDescent="0.3">
      <c r="B8" s="3" t="s">
        <v>13</v>
      </c>
      <c r="C8" s="4">
        <f ca="1">HLOOKUP(C2,B14:I18,2,FALSE)</f>
        <v>138</v>
      </c>
      <c r="D8" s="4">
        <f ca="1">HLOOKUP(D2,B14:I18,2,FALSE)</f>
        <v>88</v>
      </c>
      <c r="E8" s="4"/>
      <c r="F8" s="4"/>
      <c r="G8" s="4"/>
      <c r="H8" s="4"/>
      <c r="I8" s="4"/>
    </row>
    <row r="9" spans="2:16" ht="16.5" thickBot="1" x14ac:dyDescent="0.3">
      <c r="B9" s="3" t="s">
        <v>14</v>
      </c>
      <c r="C9" s="4">
        <f ca="1">HLOOKUP(C2,B14:I18,3,FALSE)</f>
        <v>61</v>
      </c>
      <c r="D9" s="4">
        <f ca="1">HLOOKUP(D2,B14:I18,3,FALSE)</f>
        <v>53</v>
      </c>
      <c r="E9" s="4"/>
      <c r="F9" s="4"/>
      <c r="G9" s="4"/>
      <c r="H9" s="4"/>
      <c r="I9" s="4">
        <f ca="1">VLOOKUP(B9,$B$14:$I$18,8,FALSE)</f>
        <v>98</v>
      </c>
    </row>
    <row r="10" spans="2:16" ht="16.5" thickBot="1" x14ac:dyDescent="0.3">
      <c r="B10" s="3" t="s">
        <v>15</v>
      </c>
      <c r="C10" s="4"/>
      <c r="D10" s="4">
        <f ca="1">VLOOKUP(B10,B14:I18,MATCH(D2,B14:I14,0),FALSE)</f>
        <v>78</v>
      </c>
      <c r="E10" s="4">
        <f ca="1">HLOOKUP(E2,B14:I18,4,FALSE)</f>
        <v>72</v>
      </c>
      <c r="F10" s="4">
        <f ca="1">VLOOKUP(B10,B14:I18,MATCH(F2,B14:I14,0),FALSE)</f>
        <v>81</v>
      </c>
      <c r="G10" s="4"/>
      <c r="H10" s="4">
        <f ca="1">HLOOKUP(H2,B14:I18,MATCH(B10,B14:B18,0),FALSE)</f>
        <v>172</v>
      </c>
      <c r="I10" s="4">
        <f ca="1">VLOOKUP(B10,$B$14:$I$18,8,FALSE)</f>
        <v>147</v>
      </c>
    </row>
    <row r="11" spans="2:16" ht="16.5" thickBot="1" x14ac:dyDescent="0.3">
      <c r="B11" s="3" t="s">
        <v>16</v>
      </c>
      <c r="C11" s="4"/>
      <c r="D11" s="4">
        <f ca="1">HLOOKUP(D2,B14:I18,MATCH(B18,B14:B18,0),FALSE)</f>
        <v>54</v>
      </c>
      <c r="E11" s="4"/>
      <c r="F11" s="4" t="e">
        <f>VLOOKUP(B11,A14:I18,MATCH(F2,B14:C14:I14,0),FALSE)</f>
        <v>#N/A</v>
      </c>
      <c r="G11" s="4"/>
      <c r="H11" s="4">
        <f ca="1">HLOOKUP(H2,B14:I18,MATCH(B11,B14:B18,0),FALSE)</f>
        <v>52</v>
      </c>
      <c r="I11" s="4">
        <f ca="1">VLOOKUP(B11,$B$14:$I$18,8,FALSE)</f>
        <v>184</v>
      </c>
    </row>
    <row r="13" spans="2:16" ht="15.75" thickBot="1" x14ac:dyDescent="0.3"/>
    <row r="14" spans="2:16" ht="16.5" thickBot="1" x14ac:dyDescent="0.3">
      <c r="B14" s="1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</row>
    <row r="15" spans="2:16" ht="16.5" thickBot="1" x14ac:dyDescent="0.3">
      <c r="B15" s="3" t="s">
        <v>13</v>
      </c>
      <c r="C15">
        <f ca="1">RANDBETWEEN(50,200)</f>
        <v>138</v>
      </c>
      <c r="D15">
        <f t="shared" ref="D15:I18" ca="1" si="0">RANDBETWEEN(50,200)</f>
        <v>88</v>
      </c>
      <c r="E15">
        <f t="shared" ca="1" si="0"/>
        <v>51</v>
      </c>
      <c r="F15">
        <f t="shared" ca="1" si="0"/>
        <v>150</v>
      </c>
      <c r="G15">
        <f t="shared" ca="1" si="0"/>
        <v>160</v>
      </c>
      <c r="H15">
        <f t="shared" ca="1" si="0"/>
        <v>87</v>
      </c>
      <c r="I15">
        <f t="shared" ca="1" si="0"/>
        <v>76</v>
      </c>
    </row>
    <row r="16" spans="2:16" ht="16.5" thickBot="1" x14ac:dyDescent="0.3">
      <c r="B16" s="3" t="s">
        <v>14</v>
      </c>
      <c r="C16">
        <f t="shared" ref="C16:C18" ca="1" si="1">RANDBETWEEN(50, 100)</f>
        <v>61</v>
      </c>
      <c r="D16">
        <f t="shared" ref="D15:E18" ca="1" si="2">RANDBETWEEN(50, 100)</f>
        <v>53</v>
      </c>
      <c r="E16">
        <f t="shared" ca="1" si="2"/>
        <v>70</v>
      </c>
      <c r="F16">
        <f t="shared" ca="1" si="0"/>
        <v>131</v>
      </c>
      <c r="G16">
        <f t="shared" ca="1" si="0"/>
        <v>79</v>
      </c>
      <c r="H16">
        <f t="shared" ca="1" si="0"/>
        <v>179</v>
      </c>
      <c r="I16">
        <f t="shared" ca="1" si="0"/>
        <v>98</v>
      </c>
      <c r="P16">
        <f ca="1">VLOOKUP(B10,B14:I18,MATCH(D2,B14:I14,0),FALSE)</f>
        <v>78</v>
      </c>
    </row>
    <row r="17" spans="2:9" ht="16.5" thickBot="1" x14ac:dyDescent="0.3">
      <c r="B17" s="3" t="s">
        <v>15</v>
      </c>
      <c r="C17">
        <f t="shared" ca="1" si="1"/>
        <v>73</v>
      </c>
      <c r="D17">
        <f t="shared" ca="1" si="2"/>
        <v>78</v>
      </c>
      <c r="E17">
        <f t="shared" ca="1" si="2"/>
        <v>72</v>
      </c>
      <c r="F17">
        <f t="shared" ca="1" si="0"/>
        <v>81</v>
      </c>
      <c r="G17">
        <f t="shared" ca="1" si="0"/>
        <v>161</v>
      </c>
      <c r="H17">
        <f t="shared" ca="1" si="0"/>
        <v>172</v>
      </c>
      <c r="I17">
        <f t="shared" ca="1" si="0"/>
        <v>147</v>
      </c>
    </row>
    <row r="18" spans="2:9" ht="16.5" thickBot="1" x14ac:dyDescent="0.3">
      <c r="B18" s="3" t="s">
        <v>16</v>
      </c>
      <c r="C18">
        <f t="shared" ca="1" si="1"/>
        <v>69</v>
      </c>
      <c r="D18">
        <f t="shared" ca="1" si="2"/>
        <v>54</v>
      </c>
      <c r="E18">
        <f t="shared" ca="1" si="2"/>
        <v>86</v>
      </c>
      <c r="F18">
        <f t="shared" ca="1" si="0"/>
        <v>83</v>
      </c>
      <c r="G18">
        <f t="shared" ca="1" si="0"/>
        <v>121</v>
      </c>
      <c r="H18">
        <f t="shared" ca="1" si="0"/>
        <v>52</v>
      </c>
      <c r="I18">
        <f t="shared" ca="1" si="0"/>
        <v>184</v>
      </c>
    </row>
  </sheetData>
  <sortState xmlns:xlrd2="http://schemas.microsoft.com/office/spreadsheetml/2017/richdata2" ref="I9:I11">
    <sortCondition descending="1" ref="I9:I1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Sadhna Bahetwar</dc:creator>
  <cp:lastModifiedBy>Sadhna Bahetwar</cp:lastModifiedBy>
  <dcterms:created xsi:type="dcterms:W3CDTF">2025-11-28T09:12:16Z</dcterms:created>
  <dcterms:modified xsi:type="dcterms:W3CDTF">2025-11-30T17:34:31Z</dcterms:modified>
</cp:coreProperties>
</file>